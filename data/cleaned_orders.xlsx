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hi\Desktop\"/>
    </mc:Choice>
  </mc:AlternateContent>
  <xr:revisionPtr revIDLastSave="0" documentId="13_ncr:1_{DB9AC91E-D73D-498A-A25A-036F0D18C7B4}" xr6:coauthVersionLast="47" xr6:coauthVersionMax="47" xr10:uidLastSave="{00000000-0000-0000-0000-000000000000}"/>
  <bookViews>
    <workbookView xWindow="-120" yWindow="-120" windowWidth="20730" windowHeight="11160" activeTab="1" xr2:uid="{A6FBF5C0-4CA2-42A4-9121-FB88DB5507F7}"/>
  </bookViews>
  <sheets>
    <sheet name="Dataset" sheetId="1" r:id="rId1"/>
    <sheet name="Cleaned Data" sheetId="2" r:id="rId2"/>
    <sheet name="Sales_Region" sheetId="3" r:id="rId3"/>
    <sheet name="Category_Profit" sheetId="4" r:id="rId4"/>
    <sheet name="Ship Mode" sheetId="5" r:id="rId5"/>
    <sheet name="Segment Profit" sheetId="6" r:id="rId6"/>
    <sheet name="Order Status" sheetId="7" r:id="rId7"/>
    <sheet name="Monthly Sales" sheetId="8" r:id="rId8"/>
    <sheet name="Segment Sales" sheetId="9" r:id="rId9"/>
    <sheet name="State Profit" sheetId="10" r:id="rId10"/>
    <sheet name="Payment Analysis" sheetId="11" r:id="rId11"/>
    <sheet name="Category Analysis" sheetId="12" r:id="rId12"/>
  </sheets>
  <definedNames>
    <definedName name="_xlnm._FilterDatabase" localSheetId="0" hidden="1">Dataset!$A$1:$U$933</definedName>
  </definedNames>
  <calcPr calcId="191029"/>
  <pivotCaches>
    <pivotCache cacheId="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2" l="1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2" i="2"/>
  <c r="AF913" i="2"/>
  <c r="AD913" i="2"/>
  <c r="AC913" i="2"/>
  <c r="Z913" i="2"/>
  <c r="Y913" i="2"/>
  <c r="AB913" i="2" s="1"/>
  <c r="AA913" i="2" s="1"/>
  <c r="X913" i="2"/>
  <c r="W913" i="2"/>
  <c r="V913" i="2"/>
  <c r="AF912" i="2"/>
  <c r="AD912" i="2"/>
  <c r="AC912" i="2"/>
  <c r="Z912" i="2"/>
  <c r="Y912" i="2"/>
  <c r="AB912" i="2" s="1"/>
  <c r="AA912" i="2" s="1"/>
  <c r="X912" i="2"/>
  <c r="W912" i="2"/>
  <c r="V912" i="2"/>
  <c r="AF911" i="2"/>
  <c r="AD911" i="2"/>
  <c r="AC911" i="2"/>
  <c r="Z911" i="2"/>
  <c r="Y911" i="2"/>
  <c r="AB911" i="2" s="1"/>
  <c r="AA911" i="2" s="1"/>
  <c r="X911" i="2"/>
  <c r="W911" i="2"/>
  <c r="V911" i="2"/>
  <c r="AF910" i="2"/>
  <c r="AD910" i="2"/>
  <c r="AC910" i="2"/>
  <c r="Z910" i="2"/>
  <c r="Y910" i="2"/>
  <c r="AB910" i="2" s="1"/>
  <c r="AA910" i="2" s="1"/>
  <c r="X910" i="2"/>
  <c r="W910" i="2"/>
  <c r="V910" i="2"/>
  <c r="AF909" i="2"/>
  <c r="AD909" i="2"/>
  <c r="AC909" i="2"/>
  <c r="Z909" i="2"/>
  <c r="Y909" i="2"/>
  <c r="AB909" i="2" s="1"/>
  <c r="AA909" i="2" s="1"/>
  <c r="X909" i="2"/>
  <c r="W909" i="2"/>
  <c r="V909" i="2"/>
  <c r="AF908" i="2"/>
  <c r="AD908" i="2"/>
  <c r="AC908" i="2"/>
  <c r="Z908" i="2"/>
  <c r="Y908" i="2"/>
  <c r="AB908" i="2" s="1"/>
  <c r="AA908" i="2" s="1"/>
  <c r="X908" i="2"/>
  <c r="W908" i="2"/>
  <c r="V908" i="2"/>
  <c r="AF907" i="2"/>
  <c r="AD907" i="2"/>
  <c r="AC907" i="2"/>
  <c r="Z907" i="2"/>
  <c r="Y907" i="2"/>
  <c r="AB907" i="2" s="1"/>
  <c r="AA907" i="2" s="1"/>
  <c r="X907" i="2"/>
  <c r="W907" i="2"/>
  <c r="V907" i="2"/>
  <c r="AF906" i="2"/>
  <c r="AD906" i="2"/>
  <c r="AC906" i="2"/>
  <c r="Z906" i="2"/>
  <c r="Y906" i="2"/>
  <c r="AB906" i="2" s="1"/>
  <c r="AA906" i="2" s="1"/>
  <c r="X906" i="2"/>
  <c r="W906" i="2"/>
  <c r="V906" i="2"/>
  <c r="AF905" i="2"/>
  <c r="AD905" i="2"/>
  <c r="AC905" i="2"/>
  <c r="Z905" i="2"/>
  <c r="Y905" i="2"/>
  <c r="AB905" i="2" s="1"/>
  <c r="AA905" i="2" s="1"/>
  <c r="X905" i="2"/>
  <c r="W905" i="2"/>
  <c r="V905" i="2"/>
  <c r="AF904" i="2"/>
  <c r="AD904" i="2"/>
  <c r="AC904" i="2"/>
  <c r="Z904" i="2"/>
  <c r="Y904" i="2"/>
  <c r="AB904" i="2" s="1"/>
  <c r="AA904" i="2" s="1"/>
  <c r="X904" i="2"/>
  <c r="W904" i="2"/>
  <c r="V904" i="2"/>
  <c r="AF903" i="2"/>
  <c r="AD903" i="2"/>
  <c r="AC903" i="2"/>
  <c r="Z903" i="2"/>
  <c r="Y903" i="2"/>
  <c r="AB903" i="2" s="1"/>
  <c r="AA903" i="2" s="1"/>
  <c r="X903" i="2"/>
  <c r="W903" i="2"/>
  <c r="V903" i="2"/>
  <c r="AF902" i="2"/>
  <c r="AD902" i="2"/>
  <c r="AC902" i="2"/>
  <c r="Z902" i="2"/>
  <c r="Y902" i="2"/>
  <c r="AB902" i="2" s="1"/>
  <c r="AA902" i="2" s="1"/>
  <c r="X902" i="2"/>
  <c r="W902" i="2"/>
  <c r="V902" i="2"/>
  <c r="AF901" i="2"/>
  <c r="AD901" i="2"/>
  <c r="AC901" i="2"/>
  <c r="Z901" i="2"/>
  <c r="Y901" i="2"/>
  <c r="AB901" i="2" s="1"/>
  <c r="AA901" i="2" s="1"/>
  <c r="X901" i="2"/>
  <c r="W901" i="2"/>
  <c r="V901" i="2"/>
  <c r="AF900" i="2"/>
  <c r="AD900" i="2"/>
  <c r="AC900" i="2"/>
  <c r="Z900" i="2"/>
  <c r="Y900" i="2"/>
  <c r="AB900" i="2" s="1"/>
  <c r="AA900" i="2" s="1"/>
  <c r="X900" i="2"/>
  <c r="W900" i="2"/>
  <c r="V900" i="2"/>
  <c r="AF899" i="2"/>
  <c r="AD899" i="2"/>
  <c r="AC899" i="2"/>
  <c r="Z899" i="2"/>
  <c r="Y899" i="2"/>
  <c r="AB899" i="2" s="1"/>
  <c r="AA899" i="2" s="1"/>
  <c r="X899" i="2"/>
  <c r="W899" i="2"/>
  <c r="V899" i="2"/>
  <c r="AF898" i="2"/>
  <c r="AD898" i="2"/>
  <c r="AC898" i="2"/>
  <c r="Z898" i="2"/>
  <c r="Y898" i="2"/>
  <c r="AB898" i="2" s="1"/>
  <c r="AA898" i="2" s="1"/>
  <c r="X898" i="2"/>
  <c r="W898" i="2"/>
  <c r="V898" i="2"/>
  <c r="AF897" i="2"/>
  <c r="AD897" i="2"/>
  <c r="AC897" i="2"/>
  <c r="Z897" i="2"/>
  <c r="Y897" i="2"/>
  <c r="AB897" i="2" s="1"/>
  <c r="AA897" i="2" s="1"/>
  <c r="X897" i="2"/>
  <c r="W897" i="2"/>
  <c r="V897" i="2"/>
  <c r="AF896" i="2"/>
  <c r="AD896" i="2"/>
  <c r="AC896" i="2"/>
  <c r="Z896" i="2"/>
  <c r="Y896" i="2"/>
  <c r="AB896" i="2" s="1"/>
  <c r="AA896" i="2" s="1"/>
  <c r="X896" i="2"/>
  <c r="W896" i="2"/>
  <c r="V896" i="2"/>
  <c r="AF895" i="2"/>
  <c r="AD895" i="2"/>
  <c r="AC895" i="2"/>
  <c r="Z895" i="2"/>
  <c r="Y895" i="2"/>
  <c r="AB895" i="2" s="1"/>
  <c r="AA895" i="2" s="1"/>
  <c r="X895" i="2"/>
  <c r="W895" i="2"/>
  <c r="V895" i="2"/>
  <c r="AF894" i="2"/>
  <c r="AD894" i="2"/>
  <c r="AC894" i="2"/>
  <c r="Z894" i="2"/>
  <c r="Y894" i="2"/>
  <c r="AB894" i="2" s="1"/>
  <c r="AA894" i="2" s="1"/>
  <c r="X894" i="2"/>
  <c r="W894" i="2"/>
  <c r="V894" i="2"/>
  <c r="AF893" i="2"/>
  <c r="AD893" i="2"/>
  <c r="AC893" i="2"/>
  <c r="Z893" i="2"/>
  <c r="Y893" i="2"/>
  <c r="AB893" i="2" s="1"/>
  <c r="AA893" i="2" s="1"/>
  <c r="X893" i="2"/>
  <c r="W893" i="2"/>
  <c r="V893" i="2"/>
  <c r="AF892" i="2"/>
  <c r="AD892" i="2"/>
  <c r="AC892" i="2"/>
  <c r="Z892" i="2"/>
  <c r="Y892" i="2"/>
  <c r="AB892" i="2" s="1"/>
  <c r="AA892" i="2" s="1"/>
  <c r="X892" i="2"/>
  <c r="W892" i="2"/>
  <c r="V892" i="2"/>
  <c r="AF891" i="2"/>
  <c r="AD891" i="2"/>
  <c r="AC891" i="2"/>
  <c r="Z891" i="2"/>
  <c r="Y891" i="2"/>
  <c r="AB891" i="2" s="1"/>
  <c r="AA891" i="2" s="1"/>
  <c r="X891" i="2"/>
  <c r="W891" i="2"/>
  <c r="V891" i="2"/>
  <c r="AF890" i="2"/>
  <c r="AD890" i="2"/>
  <c r="AC890" i="2"/>
  <c r="Z890" i="2"/>
  <c r="Y890" i="2"/>
  <c r="AB890" i="2" s="1"/>
  <c r="AA890" i="2" s="1"/>
  <c r="X890" i="2"/>
  <c r="W890" i="2"/>
  <c r="V890" i="2"/>
  <c r="AF889" i="2"/>
  <c r="AD889" i="2"/>
  <c r="AC889" i="2"/>
  <c r="Z889" i="2"/>
  <c r="Y889" i="2"/>
  <c r="AB889" i="2" s="1"/>
  <c r="AA889" i="2" s="1"/>
  <c r="X889" i="2"/>
  <c r="W889" i="2"/>
  <c r="V889" i="2"/>
  <c r="AF888" i="2"/>
  <c r="AD888" i="2"/>
  <c r="AC888" i="2"/>
  <c r="Z888" i="2"/>
  <c r="Y888" i="2"/>
  <c r="AB888" i="2" s="1"/>
  <c r="AA888" i="2" s="1"/>
  <c r="X888" i="2"/>
  <c r="W888" i="2"/>
  <c r="V888" i="2"/>
  <c r="AF887" i="2"/>
  <c r="AD887" i="2"/>
  <c r="AC887" i="2"/>
  <c r="Z887" i="2"/>
  <c r="Y887" i="2"/>
  <c r="AB887" i="2" s="1"/>
  <c r="AA887" i="2" s="1"/>
  <c r="X887" i="2"/>
  <c r="W887" i="2"/>
  <c r="V887" i="2"/>
  <c r="AF886" i="2"/>
  <c r="AD886" i="2"/>
  <c r="AC886" i="2"/>
  <c r="Z886" i="2"/>
  <c r="Y886" i="2"/>
  <c r="AB886" i="2" s="1"/>
  <c r="AA886" i="2" s="1"/>
  <c r="X886" i="2"/>
  <c r="W886" i="2"/>
  <c r="V886" i="2"/>
  <c r="AF885" i="2"/>
  <c r="AD885" i="2"/>
  <c r="AC885" i="2"/>
  <c r="Z885" i="2"/>
  <c r="Y885" i="2"/>
  <c r="AB885" i="2" s="1"/>
  <c r="AA885" i="2" s="1"/>
  <c r="X885" i="2"/>
  <c r="W885" i="2"/>
  <c r="V885" i="2"/>
  <c r="AF884" i="2"/>
  <c r="AD884" i="2"/>
  <c r="AC884" i="2"/>
  <c r="Z884" i="2"/>
  <c r="Y884" i="2"/>
  <c r="AB884" i="2" s="1"/>
  <c r="AA884" i="2" s="1"/>
  <c r="X884" i="2"/>
  <c r="W884" i="2"/>
  <c r="V884" i="2"/>
  <c r="AF883" i="2"/>
  <c r="AD883" i="2"/>
  <c r="AC883" i="2"/>
  <c r="Z883" i="2"/>
  <c r="Y883" i="2"/>
  <c r="AB883" i="2" s="1"/>
  <c r="AA883" i="2" s="1"/>
  <c r="X883" i="2"/>
  <c r="W883" i="2"/>
  <c r="V883" i="2"/>
  <c r="AF882" i="2"/>
  <c r="AD882" i="2"/>
  <c r="AC882" i="2"/>
  <c r="Z882" i="2"/>
  <c r="Y882" i="2"/>
  <c r="AB882" i="2" s="1"/>
  <c r="AA882" i="2" s="1"/>
  <c r="X882" i="2"/>
  <c r="W882" i="2"/>
  <c r="V882" i="2"/>
  <c r="AF881" i="2"/>
  <c r="AD881" i="2"/>
  <c r="AC881" i="2"/>
  <c r="Z881" i="2"/>
  <c r="Y881" i="2"/>
  <c r="AB881" i="2" s="1"/>
  <c r="AA881" i="2" s="1"/>
  <c r="X881" i="2"/>
  <c r="W881" i="2"/>
  <c r="V881" i="2"/>
  <c r="AF880" i="2"/>
  <c r="AD880" i="2"/>
  <c r="AC880" i="2"/>
  <c r="Z880" i="2"/>
  <c r="Y880" i="2"/>
  <c r="AB880" i="2" s="1"/>
  <c r="AA880" i="2" s="1"/>
  <c r="X880" i="2"/>
  <c r="W880" i="2"/>
  <c r="V880" i="2"/>
  <c r="AF879" i="2"/>
  <c r="AD879" i="2"/>
  <c r="AC879" i="2"/>
  <c r="Z879" i="2"/>
  <c r="Y879" i="2"/>
  <c r="AB879" i="2" s="1"/>
  <c r="AA879" i="2" s="1"/>
  <c r="X879" i="2"/>
  <c r="W879" i="2"/>
  <c r="V879" i="2"/>
  <c r="AF878" i="2"/>
  <c r="AD878" i="2"/>
  <c r="AC878" i="2"/>
  <c r="Z878" i="2"/>
  <c r="Y878" i="2"/>
  <c r="AB878" i="2" s="1"/>
  <c r="AA878" i="2" s="1"/>
  <c r="X878" i="2"/>
  <c r="W878" i="2"/>
  <c r="V878" i="2"/>
  <c r="AF877" i="2"/>
  <c r="AD877" i="2"/>
  <c r="AC877" i="2"/>
  <c r="Z877" i="2"/>
  <c r="Y877" i="2"/>
  <c r="AB877" i="2" s="1"/>
  <c r="AA877" i="2" s="1"/>
  <c r="X877" i="2"/>
  <c r="W877" i="2"/>
  <c r="V877" i="2"/>
  <c r="AF876" i="2"/>
  <c r="AD876" i="2"/>
  <c r="AC876" i="2"/>
  <c r="Z876" i="2"/>
  <c r="Y876" i="2"/>
  <c r="AB876" i="2" s="1"/>
  <c r="AA876" i="2" s="1"/>
  <c r="X876" i="2"/>
  <c r="W876" i="2"/>
  <c r="V876" i="2"/>
  <c r="AF875" i="2"/>
  <c r="AD875" i="2"/>
  <c r="AC875" i="2"/>
  <c r="Z875" i="2"/>
  <c r="Y875" i="2"/>
  <c r="AB875" i="2" s="1"/>
  <c r="AA875" i="2" s="1"/>
  <c r="X875" i="2"/>
  <c r="W875" i="2"/>
  <c r="V875" i="2"/>
  <c r="AF874" i="2"/>
  <c r="AD874" i="2"/>
  <c r="AC874" i="2"/>
  <c r="Z874" i="2"/>
  <c r="Y874" i="2"/>
  <c r="AB874" i="2" s="1"/>
  <c r="AA874" i="2" s="1"/>
  <c r="X874" i="2"/>
  <c r="W874" i="2"/>
  <c r="V874" i="2"/>
  <c r="AF873" i="2"/>
  <c r="AD873" i="2"/>
  <c r="AC873" i="2"/>
  <c r="Z873" i="2"/>
  <c r="Y873" i="2"/>
  <c r="AB873" i="2" s="1"/>
  <c r="AA873" i="2" s="1"/>
  <c r="X873" i="2"/>
  <c r="W873" i="2"/>
  <c r="V873" i="2"/>
  <c r="AF872" i="2"/>
  <c r="AD872" i="2"/>
  <c r="AC872" i="2"/>
  <c r="Z872" i="2"/>
  <c r="Y872" i="2"/>
  <c r="AB872" i="2" s="1"/>
  <c r="AA872" i="2" s="1"/>
  <c r="X872" i="2"/>
  <c r="W872" i="2"/>
  <c r="V872" i="2"/>
  <c r="AF871" i="2"/>
  <c r="AD871" i="2"/>
  <c r="AC871" i="2"/>
  <c r="Z871" i="2"/>
  <c r="Y871" i="2"/>
  <c r="AB871" i="2" s="1"/>
  <c r="AA871" i="2" s="1"/>
  <c r="X871" i="2"/>
  <c r="W871" i="2"/>
  <c r="V871" i="2"/>
  <c r="AF870" i="2"/>
  <c r="AD870" i="2"/>
  <c r="AC870" i="2"/>
  <c r="Z870" i="2"/>
  <c r="Y870" i="2"/>
  <c r="AB870" i="2" s="1"/>
  <c r="AA870" i="2" s="1"/>
  <c r="X870" i="2"/>
  <c r="W870" i="2"/>
  <c r="V870" i="2"/>
  <c r="AF869" i="2"/>
  <c r="AD869" i="2"/>
  <c r="AC869" i="2"/>
  <c r="Z869" i="2"/>
  <c r="Y869" i="2"/>
  <c r="AB869" i="2" s="1"/>
  <c r="AA869" i="2" s="1"/>
  <c r="X869" i="2"/>
  <c r="W869" i="2"/>
  <c r="V869" i="2"/>
  <c r="AF868" i="2"/>
  <c r="AD868" i="2"/>
  <c r="AC868" i="2"/>
  <c r="Z868" i="2"/>
  <c r="Y868" i="2"/>
  <c r="AB868" i="2" s="1"/>
  <c r="AA868" i="2" s="1"/>
  <c r="X868" i="2"/>
  <c r="W868" i="2"/>
  <c r="V868" i="2"/>
  <c r="AF867" i="2"/>
  <c r="AD867" i="2"/>
  <c r="AC867" i="2"/>
  <c r="Z867" i="2"/>
  <c r="Y867" i="2"/>
  <c r="AB867" i="2" s="1"/>
  <c r="AA867" i="2" s="1"/>
  <c r="X867" i="2"/>
  <c r="W867" i="2"/>
  <c r="V867" i="2"/>
  <c r="AF866" i="2"/>
  <c r="AD866" i="2"/>
  <c r="AC866" i="2"/>
  <c r="Z866" i="2"/>
  <c r="Y866" i="2"/>
  <c r="AB866" i="2" s="1"/>
  <c r="AA866" i="2" s="1"/>
  <c r="X866" i="2"/>
  <c r="W866" i="2"/>
  <c r="V866" i="2"/>
  <c r="AF865" i="2"/>
  <c r="AD865" i="2"/>
  <c r="AC865" i="2"/>
  <c r="Z865" i="2"/>
  <c r="Y865" i="2"/>
  <c r="AB865" i="2" s="1"/>
  <c r="AA865" i="2" s="1"/>
  <c r="X865" i="2"/>
  <c r="W865" i="2"/>
  <c r="V865" i="2"/>
  <c r="AF864" i="2"/>
  <c r="AD864" i="2"/>
  <c r="AC864" i="2"/>
  <c r="Z864" i="2"/>
  <c r="Y864" i="2"/>
  <c r="AB864" i="2" s="1"/>
  <c r="AA864" i="2" s="1"/>
  <c r="X864" i="2"/>
  <c r="W864" i="2"/>
  <c r="V864" i="2"/>
  <c r="AF863" i="2"/>
  <c r="AD863" i="2"/>
  <c r="AC863" i="2"/>
  <c r="Z863" i="2"/>
  <c r="Y863" i="2"/>
  <c r="AB863" i="2" s="1"/>
  <c r="AA863" i="2" s="1"/>
  <c r="X863" i="2"/>
  <c r="W863" i="2"/>
  <c r="V863" i="2"/>
  <c r="AF862" i="2"/>
  <c r="AD862" i="2"/>
  <c r="AC862" i="2"/>
  <c r="Z862" i="2"/>
  <c r="Y862" i="2"/>
  <c r="AB862" i="2" s="1"/>
  <c r="AA862" i="2" s="1"/>
  <c r="X862" i="2"/>
  <c r="W862" i="2"/>
  <c r="V862" i="2"/>
  <c r="AF861" i="2"/>
  <c r="AD861" i="2"/>
  <c r="AC861" i="2"/>
  <c r="Z861" i="2"/>
  <c r="Y861" i="2"/>
  <c r="AB861" i="2" s="1"/>
  <c r="AA861" i="2" s="1"/>
  <c r="X861" i="2"/>
  <c r="W861" i="2"/>
  <c r="V861" i="2"/>
  <c r="AF860" i="2"/>
  <c r="AD860" i="2"/>
  <c r="AC860" i="2"/>
  <c r="Z860" i="2"/>
  <c r="Y860" i="2"/>
  <c r="AB860" i="2" s="1"/>
  <c r="AA860" i="2" s="1"/>
  <c r="X860" i="2"/>
  <c r="W860" i="2"/>
  <c r="V860" i="2"/>
  <c r="AF859" i="2"/>
  <c r="AD859" i="2"/>
  <c r="AC859" i="2"/>
  <c r="Z859" i="2"/>
  <c r="Y859" i="2"/>
  <c r="AB859" i="2" s="1"/>
  <c r="AA859" i="2" s="1"/>
  <c r="X859" i="2"/>
  <c r="W859" i="2"/>
  <c r="V859" i="2"/>
  <c r="AF858" i="2"/>
  <c r="AD858" i="2"/>
  <c r="AC858" i="2"/>
  <c r="Z858" i="2"/>
  <c r="Y858" i="2"/>
  <c r="AB858" i="2" s="1"/>
  <c r="AA858" i="2" s="1"/>
  <c r="X858" i="2"/>
  <c r="W858" i="2"/>
  <c r="V858" i="2"/>
  <c r="AF857" i="2"/>
  <c r="AD857" i="2"/>
  <c r="AC857" i="2"/>
  <c r="Z857" i="2"/>
  <c r="Y857" i="2"/>
  <c r="AB857" i="2" s="1"/>
  <c r="AA857" i="2" s="1"/>
  <c r="X857" i="2"/>
  <c r="W857" i="2"/>
  <c r="V857" i="2"/>
  <c r="AF856" i="2"/>
  <c r="AD856" i="2"/>
  <c r="AC856" i="2"/>
  <c r="Z856" i="2"/>
  <c r="Y856" i="2"/>
  <c r="AB856" i="2" s="1"/>
  <c r="AA856" i="2" s="1"/>
  <c r="X856" i="2"/>
  <c r="W856" i="2"/>
  <c r="V856" i="2"/>
  <c r="AF855" i="2"/>
  <c r="AD855" i="2"/>
  <c r="AC855" i="2"/>
  <c r="Z855" i="2"/>
  <c r="Y855" i="2"/>
  <c r="AB855" i="2" s="1"/>
  <c r="AA855" i="2" s="1"/>
  <c r="X855" i="2"/>
  <c r="W855" i="2"/>
  <c r="V855" i="2"/>
  <c r="AF854" i="2"/>
  <c r="AD854" i="2"/>
  <c r="AC854" i="2"/>
  <c r="Z854" i="2"/>
  <c r="Y854" i="2"/>
  <c r="AB854" i="2" s="1"/>
  <c r="AA854" i="2" s="1"/>
  <c r="X854" i="2"/>
  <c r="W854" i="2"/>
  <c r="V854" i="2"/>
  <c r="AF853" i="2"/>
  <c r="AD853" i="2"/>
  <c r="AC853" i="2"/>
  <c r="Z853" i="2"/>
  <c r="Y853" i="2"/>
  <c r="AB853" i="2" s="1"/>
  <c r="AA853" i="2" s="1"/>
  <c r="X853" i="2"/>
  <c r="W853" i="2"/>
  <c r="V853" i="2"/>
  <c r="AF852" i="2"/>
  <c r="AD852" i="2"/>
  <c r="AC852" i="2"/>
  <c r="Z852" i="2"/>
  <c r="Y852" i="2"/>
  <c r="AB852" i="2" s="1"/>
  <c r="AA852" i="2" s="1"/>
  <c r="X852" i="2"/>
  <c r="W852" i="2"/>
  <c r="V852" i="2"/>
  <c r="AF851" i="2"/>
  <c r="AD851" i="2"/>
  <c r="AC851" i="2"/>
  <c r="Z851" i="2"/>
  <c r="Y851" i="2"/>
  <c r="AB851" i="2" s="1"/>
  <c r="AA851" i="2" s="1"/>
  <c r="X851" i="2"/>
  <c r="W851" i="2"/>
  <c r="V851" i="2"/>
  <c r="AF850" i="2"/>
  <c r="AD850" i="2"/>
  <c r="AC850" i="2"/>
  <c r="Z850" i="2"/>
  <c r="Y850" i="2"/>
  <c r="AB850" i="2" s="1"/>
  <c r="AA850" i="2" s="1"/>
  <c r="X850" i="2"/>
  <c r="W850" i="2"/>
  <c r="V850" i="2"/>
  <c r="AF849" i="2"/>
  <c r="AD849" i="2"/>
  <c r="AC849" i="2"/>
  <c r="Z849" i="2"/>
  <c r="Y849" i="2"/>
  <c r="AB849" i="2" s="1"/>
  <c r="AA849" i="2" s="1"/>
  <c r="X849" i="2"/>
  <c r="W849" i="2"/>
  <c r="V849" i="2"/>
  <c r="AF848" i="2"/>
  <c r="AD848" i="2"/>
  <c r="AC848" i="2"/>
  <c r="Z848" i="2"/>
  <c r="Y848" i="2"/>
  <c r="AB848" i="2" s="1"/>
  <c r="AA848" i="2" s="1"/>
  <c r="X848" i="2"/>
  <c r="W848" i="2"/>
  <c r="V848" i="2"/>
  <c r="AF847" i="2"/>
  <c r="AD847" i="2"/>
  <c r="AC847" i="2"/>
  <c r="Z847" i="2"/>
  <c r="Y847" i="2"/>
  <c r="AB847" i="2" s="1"/>
  <c r="AA847" i="2" s="1"/>
  <c r="X847" i="2"/>
  <c r="W847" i="2"/>
  <c r="V847" i="2"/>
  <c r="AF846" i="2"/>
  <c r="AD846" i="2"/>
  <c r="AC846" i="2"/>
  <c r="Z846" i="2"/>
  <c r="Y846" i="2"/>
  <c r="AB846" i="2" s="1"/>
  <c r="AA846" i="2" s="1"/>
  <c r="X846" i="2"/>
  <c r="W846" i="2"/>
  <c r="V846" i="2"/>
  <c r="AF845" i="2"/>
  <c r="AD845" i="2"/>
  <c r="AC845" i="2"/>
  <c r="Z845" i="2"/>
  <c r="Y845" i="2"/>
  <c r="AB845" i="2" s="1"/>
  <c r="AA845" i="2" s="1"/>
  <c r="X845" i="2"/>
  <c r="W845" i="2"/>
  <c r="V845" i="2"/>
  <c r="AF844" i="2"/>
  <c r="AD844" i="2"/>
  <c r="AC844" i="2"/>
  <c r="Z844" i="2"/>
  <c r="Y844" i="2"/>
  <c r="AB844" i="2" s="1"/>
  <c r="AA844" i="2" s="1"/>
  <c r="X844" i="2"/>
  <c r="W844" i="2"/>
  <c r="V844" i="2"/>
  <c r="AF843" i="2"/>
  <c r="AD843" i="2"/>
  <c r="AC843" i="2"/>
  <c r="Z843" i="2"/>
  <c r="Y843" i="2"/>
  <c r="AB843" i="2" s="1"/>
  <c r="AA843" i="2" s="1"/>
  <c r="X843" i="2"/>
  <c r="W843" i="2"/>
  <c r="V843" i="2"/>
  <c r="AF842" i="2"/>
  <c r="AD842" i="2"/>
  <c r="AC842" i="2"/>
  <c r="Z842" i="2"/>
  <c r="Y842" i="2"/>
  <c r="AB842" i="2" s="1"/>
  <c r="AA842" i="2" s="1"/>
  <c r="X842" i="2"/>
  <c r="W842" i="2"/>
  <c r="V842" i="2"/>
  <c r="AF841" i="2"/>
  <c r="AD841" i="2"/>
  <c r="AC841" i="2"/>
  <c r="Z841" i="2"/>
  <c r="Y841" i="2"/>
  <c r="AB841" i="2" s="1"/>
  <c r="AA841" i="2" s="1"/>
  <c r="X841" i="2"/>
  <c r="W841" i="2"/>
  <c r="V841" i="2"/>
  <c r="AF840" i="2"/>
  <c r="AD840" i="2"/>
  <c r="AC840" i="2"/>
  <c r="Z840" i="2"/>
  <c r="Y840" i="2"/>
  <c r="AB840" i="2" s="1"/>
  <c r="AA840" i="2" s="1"/>
  <c r="X840" i="2"/>
  <c r="W840" i="2"/>
  <c r="V840" i="2"/>
  <c r="AF839" i="2"/>
  <c r="AD839" i="2"/>
  <c r="AC839" i="2"/>
  <c r="Z839" i="2"/>
  <c r="Y839" i="2"/>
  <c r="AB839" i="2" s="1"/>
  <c r="AA839" i="2" s="1"/>
  <c r="X839" i="2"/>
  <c r="W839" i="2"/>
  <c r="V839" i="2"/>
  <c r="AF838" i="2"/>
  <c r="AD838" i="2"/>
  <c r="AC838" i="2"/>
  <c r="Z838" i="2"/>
  <c r="Y838" i="2"/>
  <c r="AB838" i="2" s="1"/>
  <c r="AA838" i="2" s="1"/>
  <c r="X838" i="2"/>
  <c r="W838" i="2"/>
  <c r="V838" i="2"/>
  <c r="AF837" i="2"/>
  <c r="AD837" i="2"/>
  <c r="AC837" i="2"/>
  <c r="Z837" i="2"/>
  <c r="Y837" i="2"/>
  <c r="AB837" i="2" s="1"/>
  <c r="AA837" i="2" s="1"/>
  <c r="X837" i="2"/>
  <c r="W837" i="2"/>
  <c r="V837" i="2"/>
  <c r="AF836" i="2"/>
  <c r="AD836" i="2"/>
  <c r="AC836" i="2"/>
  <c r="Z836" i="2"/>
  <c r="Y836" i="2"/>
  <c r="AB836" i="2" s="1"/>
  <c r="AA836" i="2" s="1"/>
  <c r="X836" i="2"/>
  <c r="W836" i="2"/>
  <c r="V836" i="2"/>
  <c r="AF835" i="2"/>
  <c r="AD835" i="2"/>
  <c r="AC835" i="2"/>
  <c r="Z835" i="2"/>
  <c r="Y835" i="2"/>
  <c r="AB835" i="2" s="1"/>
  <c r="AA835" i="2" s="1"/>
  <c r="X835" i="2"/>
  <c r="W835" i="2"/>
  <c r="V835" i="2"/>
  <c r="AF834" i="2"/>
  <c r="AD834" i="2"/>
  <c r="AC834" i="2"/>
  <c r="Z834" i="2"/>
  <c r="Y834" i="2"/>
  <c r="AB834" i="2" s="1"/>
  <c r="AA834" i="2" s="1"/>
  <c r="X834" i="2"/>
  <c r="W834" i="2"/>
  <c r="V834" i="2"/>
  <c r="AF833" i="2"/>
  <c r="AD833" i="2"/>
  <c r="AC833" i="2"/>
  <c r="Z833" i="2"/>
  <c r="Y833" i="2"/>
  <c r="AB833" i="2" s="1"/>
  <c r="AA833" i="2" s="1"/>
  <c r="X833" i="2"/>
  <c r="W833" i="2"/>
  <c r="V833" i="2"/>
  <c r="AF832" i="2"/>
  <c r="AD832" i="2"/>
  <c r="AC832" i="2"/>
  <c r="Z832" i="2"/>
  <c r="Y832" i="2"/>
  <c r="AB832" i="2" s="1"/>
  <c r="AA832" i="2" s="1"/>
  <c r="X832" i="2"/>
  <c r="W832" i="2"/>
  <c r="V832" i="2"/>
  <c r="AF831" i="2"/>
  <c r="AD831" i="2"/>
  <c r="AC831" i="2"/>
  <c r="Z831" i="2"/>
  <c r="Y831" i="2"/>
  <c r="AB831" i="2" s="1"/>
  <c r="AA831" i="2" s="1"/>
  <c r="X831" i="2"/>
  <c r="W831" i="2"/>
  <c r="V831" i="2"/>
  <c r="AF830" i="2"/>
  <c r="AD830" i="2"/>
  <c r="AC830" i="2"/>
  <c r="Z830" i="2"/>
  <c r="Y830" i="2"/>
  <c r="AB830" i="2" s="1"/>
  <c r="AA830" i="2" s="1"/>
  <c r="X830" i="2"/>
  <c r="W830" i="2"/>
  <c r="V830" i="2"/>
  <c r="AF829" i="2"/>
  <c r="AD829" i="2"/>
  <c r="AC829" i="2"/>
  <c r="Z829" i="2"/>
  <c r="Y829" i="2"/>
  <c r="AB829" i="2" s="1"/>
  <c r="AA829" i="2" s="1"/>
  <c r="X829" i="2"/>
  <c r="W829" i="2"/>
  <c r="V829" i="2"/>
  <c r="AF828" i="2"/>
  <c r="AD828" i="2"/>
  <c r="AC828" i="2"/>
  <c r="Z828" i="2"/>
  <c r="Y828" i="2"/>
  <c r="AB828" i="2" s="1"/>
  <c r="AA828" i="2" s="1"/>
  <c r="X828" i="2"/>
  <c r="W828" i="2"/>
  <c r="V828" i="2"/>
  <c r="AF827" i="2"/>
  <c r="AD827" i="2"/>
  <c r="AC827" i="2"/>
  <c r="Z827" i="2"/>
  <c r="Y827" i="2"/>
  <c r="AB827" i="2" s="1"/>
  <c r="AA827" i="2" s="1"/>
  <c r="X827" i="2"/>
  <c r="W827" i="2"/>
  <c r="V827" i="2"/>
  <c r="AF826" i="2"/>
  <c r="AD826" i="2"/>
  <c r="AC826" i="2"/>
  <c r="Z826" i="2"/>
  <c r="Y826" i="2"/>
  <c r="AB826" i="2" s="1"/>
  <c r="AA826" i="2" s="1"/>
  <c r="X826" i="2"/>
  <c r="W826" i="2"/>
  <c r="V826" i="2"/>
  <c r="AF825" i="2"/>
  <c r="AD825" i="2"/>
  <c r="AC825" i="2"/>
  <c r="Z825" i="2"/>
  <c r="Y825" i="2"/>
  <c r="AB825" i="2" s="1"/>
  <c r="AA825" i="2" s="1"/>
  <c r="X825" i="2"/>
  <c r="W825" i="2"/>
  <c r="V825" i="2"/>
  <c r="AF824" i="2"/>
  <c r="AD824" i="2"/>
  <c r="AC824" i="2"/>
  <c r="Z824" i="2"/>
  <c r="Y824" i="2"/>
  <c r="AB824" i="2" s="1"/>
  <c r="AA824" i="2" s="1"/>
  <c r="X824" i="2"/>
  <c r="W824" i="2"/>
  <c r="V824" i="2"/>
  <c r="AF823" i="2"/>
  <c r="AD823" i="2"/>
  <c r="AC823" i="2"/>
  <c r="Z823" i="2"/>
  <c r="Y823" i="2"/>
  <c r="AB823" i="2" s="1"/>
  <c r="AA823" i="2" s="1"/>
  <c r="X823" i="2"/>
  <c r="W823" i="2"/>
  <c r="V823" i="2"/>
  <c r="AF822" i="2"/>
  <c r="AD822" i="2"/>
  <c r="AC822" i="2"/>
  <c r="Z822" i="2"/>
  <c r="Y822" i="2"/>
  <c r="AB822" i="2" s="1"/>
  <c r="AA822" i="2" s="1"/>
  <c r="X822" i="2"/>
  <c r="W822" i="2"/>
  <c r="V822" i="2"/>
  <c r="AF821" i="2"/>
  <c r="AD821" i="2"/>
  <c r="AC821" i="2"/>
  <c r="Z821" i="2"/>
  <c r="Y821" i="2"/>
  <c r="AB821" i="2" s="1"/>
  <c r="AA821" i="2" s="1"/>
  <c r="X821" i="2"/>
  <c r="W821" i="2"/>
  <c r="V821" i="2"/>
  <c r="AF820" i="2"/>
  <c r="AD820" i="2"/>
  <c r="AC820" i="2"/>
  <c r="Z820" i="2"/>
  <c r="Y820" i="2"/>
  <c r="AB820" i="2" s="1"/>
  <c r="AA820" i="2" s="1"/>
  <c r="X820" i="2"/>
  <c r="W820" i="2"/>
  <c r="V820" i="2"/>
  <c r="AF819" i="2"/>
  <c r="AD819" i="2"/>
  <c r="AC819" i="2"/>
  <c r="Z819" i="2"/>
  <c r="Y819" i="2"/>
  <c r="AB819" i="2" s="1"/>
  <c r="AA819" i="2" s="1"/>
  <c r="X819" i="2"/>
  <c r="W819" i="2"/>
  <c r="V819" i="2"/>
  <c r="AF818" i="2"/>
  <c r="AD818" i="2"/>
  <c r="AC818" i="2"/>
  <c r="Z818" i="2"/>
  <c r="Y818" i="2"/>
  <c r="AB818" i="2" s="1"/>
  <c r="AA818" i="2" s="1"/>
  <c r="X818" i="2"/>
  <c r="W818" i="2"/>
  <c r="V818" i="2"/>
  <c r="AF817" i="2"/>
  <c r="AD817" i="2"/>
  <c r="AC817" i="2"/>
  <c r="Z817" i="2"/>
  <c r="Y817" i="2"/>
  <c r="AB817" i="2" s="1"/>
  <c r="AA817" i="2" s="1"/>
  <c r="X817" i="2"/>
  <c r="W817" i="2"/>
  <c r="V817" i="2"/>
  <c r="AF816" i="2"/>
  <c r="AD816" i="2"/>
  <c r="AC816" i="2"/>
  <c r="Z816" i="2"/>
  <c r="Y816" i="2"/>
  <c r="AB816" i="2" s="1"/>
  <c r="AA816" i="2" s="1"/>
  <c r="X816" i="2"/>
  <c r="W816" i="2"/>
  <c r="V816" i="2"/>
  <c r="AF815" i="2"/>
  <c r="AD815" i="2"/>
  <c r="AC815" i="2"/>
  <c r="Z815" i="2"/>
  <c r="Y815" i="2"/>
  <c r="AB815" i="2" s="1"/>
  <c r="AA815" i="2" s="1"/>
  <c r="X815" i="2"/>
  <c r="W815" i="2"/>
  <c r="V815" i="2"/>
  <c r="AF814" i="2"/>
  <c r="AD814" i="2"/>
  <c r="AC814" i="2"/>
  <c r="Z814" i="2"/>
  <c r="Y814" i="2"/>
  <c r="AB814" i="2" s="1"/>
  <c r="AA814" i="2" s="1"/>
  <c r="X814" i="2"/>
  <c r="W814" i="2"/>
  <c r="V814" i="2"/>
  <c r="AF813" i="2"/>
  <c r="AD813" i="2"/>
  <c r="AC813" i="2"/>
  <c r="Z813" i="2"/>
  <c r="Y813" i="2"/>
  <c r="AB813" i="2" s="1"/>
  <c r="AA813" i="2" s="1"/>
  <c r="X813" i="2"/>
  <c r="W813" i="2"/>
  <c r="V813" i="2"/>
  <c r="AF812" i="2"/>
  <c r="AD812" i="2"/>
  <c r="AC812" i="2"/>
  <c r="Z812" i="2"/>
  <c r="Y812" i="2"/>
  <c r="AB812" i="2" s="1"/>
  <c r="AA812" i="2" s="1"/>
  <c r="X812" i="2"/>
  <c r="W812" i="2"/>
  <c r="V812" i="2"/>
  <c r="AF811" i="2"/>
  <c r="AD811" i="2"/>
  <c r="AC811" i="2"/>
  <c r="Z811" i="2"/>
  <c r="Y811" i="2"/>
  <c r="AB811" i="2" s="1"/>
  <c r="AA811" i="2" s="1"/>
  <c r="X811" i="2"/>
  <c r="W811" i="2"/>
  <c r="V811" i="2"/>
  <c r="AF810" i="2"/>
  <c r="AD810" i="2"/>
  <c r="AC810" i="2"/>
  <c r="Z810" i="2"/>
  <c r="Y810" i="2"/>
  <c r="AB810" i="2" s="1"/>
  <c r="AA810" i="2" s="1"/>
  <c r="X810" i="2"/>
  <c r="W810" i="2"/>
  <c r="V810" i="2"/>
  <c r="AF809" i="2"/>
  <c r="AD809" i="2"/>
  <c r="AC809" i="2"/>
  <c r="Z809" i="2"/>
  <c r="Y809" i="2"/>
  <c r="AB809" i="2" s="1"/>
  <c r="AA809" i="2" s="1"/>
  <c r="X809" i="2"/>
  <c r="W809" i="2"/>
  <c r="V809" i="2"/>
  <c r="AF808" i="2"/>
  <c r="AD808" i="2"/>
  <c r="AC808" i="2"/>
  <c r="Z808" i="2"/>
  <c r="Y808" i="2"/>
  <c r="AB808" i="2" s="1"/>
  <c r="AA808" i="2" s="1"/>
  <c r="X808" i="2"/>
  <c r="W808" i="2"/>
  <c r="V808" i="2"/>
  <c r="AF807" i="2"/>
  <c r="AD807" i="2"/>
  <c r="AC807" i="2"/>
  <c r="Z807" i="2"/>
  <c r="Y807" i="2"/>
  <c r="AB807" i="2" s="1"/>
  <c r="AA807" i="2" s="1"/>
  <c r="X807" i="2"/>
  <c r="W807" i="2"/>
  <c r="V807" i="2"/>
  <c r="AF806" i="2"/>
  <c r="AD806" i="2"/>
  <c r="AC806" i="2"/>
  <c r="Z806" i="2"/>
  <c r="Y806" i="2"/>
  <c r="AB806" i="2" s="1"/>
  <c r="AA806" i="2" s="1"/>
  <c r="X806" i="2"/>
  <c r="W806" i="2"/>
  <c r="V806" i="2"/>
  <c r="AF805" i="2"/>
  <c r="AD805" i="2"/>
  <c r="AC805" i="2"/>
  <c r="Z805" i="2"/>
  <c r="Y805" i="2"/>
  <c r="AB805" i="2" s="1"/>
  <c r="AA805" i="2" s="1"/>
  <c r="X805" i="2"/>
  <c r="W805" i="2"/>
  <c r="V805" i="2"/>
  <c r="AF804" i="2"/>
  <c r="AD804" i="2"/>
  <c r="AC804" i="2"/>
  <c r="Z804" i="2"/>
  <c r="Y804" i="2"/>
  <c r="AB804" i="2" s="1"/>
  <c r="AA804" i="2" s="1"/>
  <c r="X804" i="2"/>
  <c r="W804" i="2"/>
  <c r="V804" i="2"/>
  <c r="AF803" i="2"/>
  <c r="AD803" i="2"/>
  <c r="AC803" i="2"/>
  <c r="Z803" i="2"/>
  <c r="Y803" i="2"/>
  <c r="AB803" i="2" s="1"/>
  <c r="AA803" i="2" s="1"/>
  <c r="X803" i="2"/>
  <c r="W803" i="2"/>
  <c r="V803" i="2"/>
  <c r="AF802" i="2"/>
  <c r="AD802" i="2"/>
  <c r="AC802" i="2"/>
  <c r="Z802" i="2"/>
  <c r="Y802" i="2"/>
  <c r="AB802" i="2" s="1"/>
  <c r="AA802" i="2" s="1"/>
  <c r="X802" i="2"/>
  <c r="W802" i="2"/>
  <c r="V802" i="2"/>
  <c r="AF801" i="2"/>
  <c r="AD801" i="2"/>
  <c r="AC801" i="2"/>
  <c r="Z801" i="2"/>
  <c r="Y801" i="2"/>
  <c r="AB801" i="2" s="1"/>
  <c r="AA801" i="2" s="1"/>
  <c r="X801" i="2"/>
  <c r="W801" i="2"/>
  <c r="V801" i="2"/>
  <c r="AF800" i="2"/>
  <c r="AD800" i="2"/>
  <c r="AC800" i="2"/>
  <c r="Z800" i="2"/>
  <c r="Y800" i="2"/>
  <c r="AB800" i="2" s="1"/>
  <c r="AA800" i="2" s="1"/>
  <c r="X800" i="2"/>
  <c r="W800" i="2"/>
  <c r="V800" i="2"/>
  <c r="AF799" i="2"/>
  <c r="AD799" i="2"/>
  <c r="AC799" i="2"/>
  <c r="Z799" i="2"/>
  <c r="Y799" i="2"/>
  <c r="AB799" i="2" s="1"/>
  <c r="AA799" i="2" s="1"/>
  <c r="X799" i="2"/>
  <c r="W799" i="2"/>
  <c r="V799" i="2"/>
  <c r="AF798" i="2"/>
  <c r="AD798" i="2"/>
  <c r="AC798" i="2"/>
  <c r="Z798" i="2"/>
  <c r="Y798" i="2"/>
  <c r="AB798" i="2" s="1"/>
  <c r="AA798" i="2" s="1"/>
  <c r="X798" i="2"/>
  <c r="W798" i="2"/>
  <c r="V798" i="2"/>
  <c r="AF797" i="2"/>
  <c r="AD797" i="2"/>
  <c r="AC797" i="2"/>
  <c r="Z797" i="2"/>
  <c r="Y797" i="2"/>
  <c r="AB797" i="2" s="1"/>
  <c r="AA797" i="2" s="1"/>
  <c r="X797" i="2"/>
  <c r="W797" i="2"/>
  <c r="V797" i="2"/>
  <c r="AF796" i="2"/>
  <c r="AD796" i="2"/>
  <c r="AC796" i="2"/>
  <c r="Z796" i="2"/>
  <c r="Y796" i="2"/>
  <c r="AB796" i="2" s="1"/>
  <c r="AA796" i="2" s="1"/>
  <c r="X796" i="2"/>
  <c r="W796" i="2"/>
  <c r="V796" i="2"/>
  <c r="AF795" i="2"/>
  <c r="AD795" i="2"/>
  <c r="AC795" i="2"/>
  <c r="Z795" i="2"/>
  <c r="Y795" i="2"/>
  <c r="AB795" i="2" s="1"/>
  <c r="AA795" i="2" s="1"/>
  <c r="X795" i="2"/>
  <c r="W795" i="2"/>
  <c r="V795" i="2"/>
  <c r="AF794" i="2"/>
  <c r="AD794" i="2"/>
  <c r="AC794" i="2"/>
  <c r="Z794" i="2"/>
  <c r="Y794" i="2"/>
  <c r="AB794" i="2" s="1"/>
  <c r="AA794" i="2" s="1"/>
  <c r="X794" i="2"/>
  <c r="W794" i="2"/>
  <c r="V794" i="2"/>
  <c r="AF793" i="2"/>
  <c r="AD793" i="2"/>
  <c r="AC793" i="2"/>
  <c r="Z793" i="2"/>
  <c r="Y793" i="2"/>
  <c r="AB793" i="2" s="1"/>
  <c r="AA793" i="2" s="1"/>
  <c r="X793" i="2"/>
  <c r="W793" i="2"/>
  <c r="V793" i="2"/>
  <c r="AF792" i="2"/>
  <c r="AD792" i="2"/>
  <c r="AC792" i="2"/>
  <c r="Z792" i="2"/>
  <c r="Y792" i="2"/>
  <c r="AB792" i="2" s="1"/>
  <c r="AA792" i="2" s="1"/>
  <c r="X792" i="2"/>
  <c r="W792" i="2"/>
  <c r="V792" i="2"/>
  <c r="AF791" i="2"/>
  <c r="AD791" i="2"/>
  <c r="AC791" i="2"/>
  <c r="Z791" i="2"/>
  <c r="Y791" i="2"/>
  <c r="AB791" i="2" s="1"/>
  <c r="AA791" i="2" s="1"/>
  <c r="X791" i="2"/>
  <c r="W791" i="2"/>
  <c r="V791" i="2"/>
  <c r="AF790" i="2"/>
  <c r="AD790" i="2"/>
  <c r="AC790" i="2"/>
  <c r="Z790" i="2"/>
  <c r="Y790" i="2"/>
  <c r="AB790" i="2" s="1"/>
  <c r="AA790" i="2" s="1"/>
  <c r="X790" i="2"/>
  <c r="W790" i="2"/>
  <c r="V790" i="2"/>
  <c r="AF789" i="2"/>
  <c r="AD789" i="2"/>
  <c r="AC789" i="2"/>
  <c r="Z789" i="2"/>
  <c r="Y789" i="2"/>
  <c r="AB789" i="2" s="1"/>
  <c r="AA789" i="2" s="1"/>
  <c r="X789" i="2"/>
  <c r="W789" i="2"/>
  <c r="V789" i="2"/>
  <c r="AF788" i="2"/>
  <c r="AD788" i="2"/>
  <c r="AC788" i="2"/>
  <c r="Z788" i="2"/>
  <c r="Y788" i="2"/>
  <c r="AB788" i="2" s="1"/>
  <c r="AA788" i="2" s="1"/>
  <c r="X788" i="2"/>
  <c r="W788" i="2"/>
  <c r="V788" i="2"/>
  <c r="AF787" i="2"/>
  <c r="AD787" i="2"/>
  <c r="AC787" i="2"/>
  <c r="Z787" i="2"/>
  <c r="Y787" i="2"/>
  <c r="AB787" i="2" s="1"/>
  <c r="AA787" i="2" s="1"/>
  <c r="X787" i="2"/>
  <c r="W787" i="2"/>
  <c r="V787" i="2"/>
  <c r="AF786" i="2"/>
  <c r="AD786" i="2"/>
  <c r="AC786" i="2"/>
  <c r="Z786" i="2"/>
  <c r="Y786" i="2"/>
  <c r="AB786" i="2" s="1"/>
  <c r="AA786" i="2" s="1"/>
  <c r="X786" i="2"/>
  <c r="W786" i="2"/>
  <c r="V786" i="2"/>
  <c r="AF785" i="2"/>
  <c r="AD785" i="2"/>
  <c r="AC785" i="2"/>
  <c r="Z785" i="2"/>
  <c r="Y785" i="2"/>
  <c r="AB785" i="2" s="1"/>
  <c r="AA785" i="2" s="1"/>
  <c r="X785" i="2"/>
  <c r="W785" i="2"/>
  <c r="V785" i="2"/>
  <c r="AF784" i="2"/>
  <c r="AD784" i="2"/>
  <c r="AC784" i="2"/>
  <c r="Z784" i="2"/>
  <c r="Y784" i="2"/>
  <c r="AB784" i="2" s="1"/>
  <c r="AA784" i="2" s="1"/>
  <c r="X784" i="2"/>
  <c r="W784" i="2"/>
  <c r="V784" i="2"/>
  <c r="AF783" i="2"/>
  <c r="AD783" i="2"/>
  <c r="AC783" i="2"/>
  <c r="Z783" i="2"/>
  <c r="Y783" i="2"/>
  <c r="AB783" i="2" s="1"/>
  <c r="AA783" i="2" s="1"/>
  <c r="X783" i="2"/>
  <c r="W783" i="2"/>
  <c r="V783" i="2"/>
  <c r="AF782" i="2"/>
  <c r="AD782" i="2"/>
  <c r="AC782" i="2"/>
  <c r="Z782" i="2"/>
  <c r="Y782" i="2"/>
  <c r="AB782" i="2" s="1"/>
  <c r="AA782" i="2" s="1"/>
  <c r="X782" i="2"/>
  <c r="W782" i="2"/>
  <c r="V782" i="2"/>
  <c r="AF781" i="2"/>
  <c r="AD781" i="2"/>
  <c r="AC781" i="2"/>
  <c r="Z781" i="2"/>
  <c r="Y781" i="2"/>
  <c r="AB781" i="2" s="1"/>
  <c r="AA781" i="2" s="1"/>
  <c r="X781" i="2"/>
  <c r="W781" i="2"/>
  <c r="V781" i="2"/>
  <c r="AF780" i="2"/>
  <c r="AD780" i="2"/>
  <c r="AC780" i="2"/>
  <c r="Z780" i="2"/>
  <c r="Y780" i="2"/>
  <c r="AB780" i="2" s="1"/>
  <c r="AA780" i="2" s="1"/>
  <c r="X780" i="2"/>
  <c r="W780" i="2"/>
  <c r="V780" i="2"/>
  <c r="AF779" i="2"/>
  <c r="AD779" i="2"/>
  <c r="AC779" i="2"/>
  <c r="Z779" i="2"/>
  <c r="Y779" i="2"/>
  <c r="AB779" i="2" s="1"/>
  <c r="AA779" i="2" s="1"/>
  <c r="X779" i="2"/>
  <c r="W779" i="2"/>
  <c r="V779" i="2"/>
  <c r="AF778" i="2"/>
  <c r="AD778" i="2"/>
  <c r="AC778" i="2"/>
  <c r="Z778" i="2"/>
  <c r="Y778" i="2"/>
  <c r="AB778" i="2" s="1"/>
  <c r="AA778" i="2" s="1"/>
  <c r="X778" i="2"/>
  <c r="W778" i="2"/>
  <c r="V778" i="2"/>
  <c r="AF777" i="2"/>
  <c r="AD777" i="2"/>
  <c r="AC777" i="2"/>
  <c r="Z777" i="2"/>
  <c r="Y777" i="2"/>
  <c r="AB777" i="2" s="1"/>
  <c r="AA777" i="2" s="1"/>
  <c r="X777" i="2"/>
  <c r="W777" i="2"/>
  <c r="V777" i="2"/>
  <c r="AF776" i="2"/>
  <c r="AD776" i="2"/>
  <c r="AC776" i="2"/>
  <c r="Z776" i="2"/>
  <c r="Y776" i="2"/>
  <c r="AB776" i="2" s="1"/>
  <c r="AA776" i="2" s="1"/>
  <c r="X776" i="2"/>
  <c r="W776" i="2"/>
  <c r="V776" i="2"/>
  <c r="AF775" i="2"/>
  <c r="AD775" i="2"/>
  <c r="AC775" i="2"/>
  <c r="Z775" i="2"/>
  <c r="Y775" i="2"/>
  <c r="AB775" i="2" s="1"/>
  <c r="AA775" i="2" s="1"/>
  <c r="X775" i="2"/>
  <c r="W775" i="2"/>
  <c r="V775" i="2"/>
  <c r="AF774" i="2"/>
  <c r="AD774" i="2"/>
  <c r="AC774" i="2"/>
  <c r="Z774" i="2"/>
  <c r="Y774" i="2"/>
  <c r="AB774" i="2" s="1"/>
  <c r="AA774" i="2" s="1"/>
  <c r="X774" i="2"/>
  <c r="W774" i="2"/>
  <c r="V774" i="2"/>
  <c r="AF773" i="2"/>
  <c r="AD773" i="2"/>
  <c r="AC773" i="2"/>
  <c r="Z773" i="2"/>
  <c r="Y773" i="2"/>
  <c r="AB773" i="2" s="1"/>
  <c r="AA773" i="2" s="1"/>
  <c r="X773" i="2"/>
  <c r="W773" i="2"/>
  <c r="V773" i="2"/>
  <c r="AF772" i="2"/>
  <c r="AD772" i="2"/>
  <c r="AC772" i="2"/>
  <c r="Z772" i="2"/>
  <c r="Y772" i="2"/>
  <c r="AB772" i="2" s="1"/>
  <c r="AA772" i="2" s="1"/>
  <c r="X772" i="2"/>
  <c r="W772" i="2"/>
  <c r="V772" i="2"/>
  <c r="AF771" i="2"/>
  <c r="AD771" i="2"/>
  <c r="AC771" i="2"/>
  <c r="Z771" i="2"/>
  <c r="Y771" i="2"/>
  <c r="AB771" i="2" s="1"/>
  <c r="AA771" i="2" s="1"/>
  <c r="X771" i="2"/>
  <c r="W771" i="2"/>
  <c r="V771" i="2"/>
  <c r="AF770" i="2"/>
  <c r="AD770" i="2"/>
  <c r="AC770" i="2"/>
  <c r="Z770" i="2"/>
  <c r="Y770" i="2"/>
  <c r="AB770" i="2" s="1"/>
  <c r="AA770" i="2" s="1"/>
  <c r="X770" i="2"/>
  <c r="W770" i="2"/>
  <c r="V770" i="2"/>
  <c r="AF769" i="2"/>
  <c r="AD769" i="2"/>
  <c r="AC769" i="2"/>
  <c r="Z769" i="2"/>
  <c r="Y769" i="2"/>
  <c r="AB769" i="2" s="1"/>
  <c r="AA769" i="2" s="1"/>
  <c r="X769" i="2"/>
  <c r="W769" i="2"/>
  <c r="V769" i="2"/>
  <c r="AF768" i="2"/>
  <c r="AD768" i="2"/>
  <c r="AC768" i="2"/>
  <c r="Z768" i="2"/>
  <c r="Y768" i="2"/>
  <c r="AB768" i="2" s="1"/>
  <c r="AA768" i="2" s="1"/>
  <c r="X768" i="2"/>
  <c r="W768" i="2"/>
  <c r="V768" i="2"/>
  <c r="AF767" i="2"/>
  <c r="AD767" i="2"/>
  <c r="AC767" i="2"/>
  <c r="Z767" i="2"/>
  <c r="Y767" i="2"/>
  <c r="AB767" i="2" s="1"/>
  <c r="AA767" i="2" s="1"/>
  <c r="X767" i="2"/>
  <c r="W767" i="2"/>
  <c r="V767" i="2"/>
  <c r="AF766" i="2"/>
  <c r="AD766" i="2"/>
  <c r="AC766" i="2"/>
  <c r="Z766" i="2"/>
  <c r="Y766" i="2"/>
  <c r="AB766" i="2" s="1"/>
  <c r="AA766" i="2" s="1"/>
  <c r="X766" i="2"/>
  <c r="W766" i="2"/>
  <c r="V766" i="2"/>
  <c r="AF765" i="2"/>
  <c r="AD765" i="2"/>
  <c r="AC765" i="2"/>
  <c r="Z765" i="2"/>
  <c r="Y765" i="2"/>
  <c r="AB765" i="2" s="1"/>
  <c r="AA765" i="2" s="1"/>
  <c r="X765" i="2"/>
  <c r="W765" i="2"/>
  <c r="V765" i="2"/>
  <c r="AF764" i="2"/>
  <c r="AD764" i="2"/>
  <c r="AC764" i="2"/>
  <c r="Z764" i="2"/>
  <c r="Y764" i="2"/>
  <c r="AB764" i="2" s="1"/>
  <c r="AA764" i="2" s="1"/>
  <c r="X764" i="2"/>
  <c r="W764" i="2"/>
  <c r="V764" i="2"/>
  <c r="AF763" i="2"/>
  <c r="AD763" i="2"/>
  <c r="AC763" i="2"/>
  <c r="Z763" i="2"/>
  <c r="Y763" i="2"/>
  <c r="AB763" i="2" s="1"/>
  <c r="AA763" i="2" s="1"/>
  <c r="X763" i="2"/>
  <c r="W763" i="2"/>
  <c r="V763" i="2"/>
  <c r="AF762" i="2"/>
  <c r="AD762" i="2"/>
  <c r="AC762" i="2"/>
  <c r="Z762" i="2"/>
  <c r="Y762" i="2"/>
  <c r="AB762" i="2" s="1"/>
  <c r="AA762" i="2" s="1"/>
  <c r="X762" i="2"/>
  <c r="W762" i="2"/>
  <c r="V762" i="2"/>
  <c r="AF761" i="2"/>
  <c r="AD761" i="2"/>
  <c r="AC761" i="2"/>
  <c r="Z761" i="2"/>
  <c r="Y761" i="2"/>
  <c r="AB761" i="2" s="1"/>
  <c r="AA761" i="2" s="1"/>
  <c r="X761" i="2"/>
  <c r="W761" i="2"/>
  <c r="V761" i="2"/>
  <c r="AF760" i="2"/>
  <c r="AD760" i="2"/>
  <c r="AC760" i="2"/>
  <c r="Z760" i="2"/>
  <c r="Y760" i="2"/>
  <c r="AB760" i="2" s="1"/>
  <c r="AA760" i="2" s="1"/>
  <c r="X760" i="2"/>
  <c r="W760" i="2"/>
  <c r="V760" i="2"/>
  <c r="AF759" i="2"/>
  <c r="AD759" i="2"/>
  <c r="AC759" i="2"/>
  <c r="Z759" i="2"/>
  <c r="Y759" i="2"/>
  <c r="AB759" i="2" s="1"/>
  <c r="AA759" i="2" s="1"/>
  <c r="X759" i="2"/>
  <c r="W759" i="2"/>
  <c r="V759" i="2"/>
  <c r="AF758" i="2"/>
  <c r="AD758" i="2"/>
  <c r="AC758" i="2"/>
  <c r="Z758" i="2"/>
  <c r="Y758" i="2"/>
  <c r="AB758" i="2" s="1"/>
  <c r="AA758" i="2" s="1"/>
  <c r="X758" i="2"/>
  <c r="W758" i="2"/>
  <c r="V758" i="2"/>
  <c r="AF757" i="2"/>
  <c r="AD757" i="2"/>
  <c r="AC757" i="2"/>
  <c r="Z757" i="2"/>
  <c r="Y757" i="2"/>
  <c r="AB757" i="2" s="1"/>
  <c r="AA757" i="2" s="1"/>
  <c r="X757" i="2"/>
  <c r="W757" i="2"/>
  <c r="V757" i="2"/>
  <c r="AF756" i="2"/>
  <c r="AD756" i="2"/>
  <c r="AC756" i="2"/>
  <c r="Z756" i="2"/>
  <c r="Y756" i="2"/>
  <c r="AB756" i="2" s="1"/>
  <c r="AA756" i="2" s="1"/>
  <c r="X756" i="2"/>
  <c r="W756" i="2"/>
  <c r="V756" i="2"/>
  <c r="AF755" i="2"/>
  <c r="AD755" i="2"/>
  <c r="AC755" i="2"/>
  <c r="Z755" i="2"/>
  <c r="Y755" i="2"/>
  <c r="AB755" i="2" s="1"/>
  <c r="AA755" i="2" s="1"/>
  <c r="X755" i="2"/>
  <c r="W755" i="2"/>
  <c r="V755" i="2"/>
  <c r="AF754" i="2"/>
  <c r="AD754" i="2"/>
  <c r="AC754" i="2"/>
  <c r="Z754" i="2"/>
  <c r="Y754" i="2"/>
  <c r="AB754" i="2" s="1"/>
  <c r="AA754" i="2" s="1"/>
  <c r="X754" i="2"/>
  <c r="W754" i="2"/>
  <c r="V754" i="2"/>
  <c r="AF753" i="2"/>
  <c r="AD753" i="2"/>
  <c r="AC753" i="2"/>
  <c r="Z753" i="2"/>
  <c r="Y753" i="2"/>
  <c r="AB753" i="2" s="1"/>
  <c r="AA753" i="2" s="1"/>
  <c r="X753" i="2"/>
  <c r="W753" i="2"/>
  <c r="V753" i="2"/>
  <c r="AF752" i="2"/>
  <c r="AD752" i="2"/>
  <c r="AC752" i="2"/>
  <c r="Z752" i="2"/>
  <c r="Y752" i="2"/>
  <c r="AB752" i="2" s="1"/>
  <c r="AA752" i="2" s="1"/>
  <c r="X752" i="2"/>
  <c r="W752" i="2"/>
  <c r="V752" i="2"/>
  <c r="AF751" i="2"/>
  <c r="AD751" i="2"/>
  <c r="AC751" i="2"/>
  <c r="Z751" i="2"/>
  <c r="Y751" i="2"/>
  <c r="AB751" i="2" s="1"/>
  <c r="AA751" i="2" s="1"/>
  <c r="X751" i="2"/>
  <c r="W751" i="2"/>
  <c r="V751" i="2"/>
  <c r="AF750" i="2"/>
  <c r="AD750" i="2"/>
  <c r="AC750" i="2"/>
  <c r="Z750" i="2"/>
  <c r="Y750" i="2"/>
  <c r="AB750" i="2" s="1"/>
  <c r="AA750" i="2" s="1"/>
  <c r="X750" i="2"/>
  <c r="W750" i="2"/>
  <c r="V750" i="2"/>
  <c r="AF749" i="2"/>
  <c r="AD749" i="2"/>
  <c r="AC749" i="2"/>
  <c r="Z749" i="2"/>
  <c r="Y749" i="2"/>
  <c r="AB749" i="2" s="1"/>
  <c r="AA749" i="2" s="1"/>
  <c r="X749" i="2"/>
  <c r="W749" i="2"/>
  <c r="V749" i="2"/>
  <c r="AF748" i="2"/>
  <c r="AD748" i="2"/>
  <c r="AC748" i="2"/>
  <c r="Z748" i="2"/>
  <c r="Y748" i="2"/>
  <c r="AB748" i="2" s="1"/>
  <c r="AA748" i="2" s="1"/>
  <c r="X748" i="2"/>
  <c r="W748" i="2"/>
  <c r="V748" i="2"/>
  <c r="AF747" i="2"/>
  <c r="AD747" i="2"/>
  <c r="AC747" i="2"/>
  <c r="Z747" i="2"/>
  <c r="Y747" i="2"/>
  <c r="AB747" i="2" s="1"/>
  <c r="AA747" i="2" s="1"/>
  <c r="X747" i="2"/>
  <c r="W747" i="2"/>
  <c r="V747" i="2"/>
  <c r="AF746" i="2"/>
  <c r="AD746" i="2"/>
  <c r="AC746" i="2"/>
  <c r="Z746" i="2"/>
  <c r="Y746" i="2"/>
  <c r="AB746" i="2" s="1"/>
  <c r="AA746" i="2" s="1"/>
  <c r="X746" i="2"/>
  <c r="W746" i="2"/>
  <c r="V746" i="2"/>
  <c r="AF745" i="2"/>
  <c r="AD745" i="2"/>
  <c r="AC745" i="2"/>
  <c r="Z745" i="2"/>
  <c r="Y745" i="2"/>
  <c r="AB745" i="2" s="1"/>
  <c r="AA745" i="2" s="1"/>
  <c r="X745" i="2"/>
  <c r="W745" i="2"/>
  <c r="V745" i="2"/>
  <c r="AF744" i="2"/>
  <c r="AD744" i="2"/>
  <c r="AC744" i="2"/>
  <c r="Z744" i="2"/>
  <c r="Y744" i="2"/>
  <c r="AB744" i="2" s="1"/>
  <c r="AA744" i="2" s="1"/>
  <c r="X744" i="2"/>
  <c r="W744" i="2"/>
  <c r="V744" i="2"/>
  <c r="AF743" i="2"/>
  <c r="AD743" i="2"/>
  <c r="AC743" i="2"/>
  <c r="Z743" i="2"/>
  <c r="Y743" i="2"/>
  <c r="AB743" i="2" s="1"/>
  <c r="AA743" i="2" s="1"/>
  <c r="X743" i="2"/>
  <c r="W743" i="2"/>
  <c r="V743" i="2"/>
  <c r="AF742" i="2"/>
  <c r="AD742" i="2"/>
  <c r="AC742" i="2"/>
  <c r="Z742" i="2"/>
  <c r="Y742" i="2"/>
  <c r="AB742" i="2" s="1"/>
  <c r="AA742" i="2" s="1"/>
  <c r="X742" i="2"/>
  <c r="W742" i="2"/>
  <c r="V742" i="2"/>
  <c r="AF741" i="2"/>
  <c r="AD741" i="2"/>
  <c r="AC741" i="2"/>
  <c r="Z741" i="2"/>
  <c r="Y741" i="2"/>
  <c r="AB741" i="2" s="1"/>
  <c r="AA741" i="2" s="1"/>
  <c r="X741" i="2"/>
  <c r="W741" i="2"/>
  <c r="V741" i="2"/>
  <c r="AF740" i="2"/>
  <c r="AD740" i="2"/>
  <c r="AC740" i="2"/>
  <c r="Z740" i="2"/>
  <c r="Y740" i="2"/>
  <c r="AB740" i="2" s="1"/>
  <c r="AA740" i="2" s="1"/>
  <c r="X740" i="2"/>
  <c r="W740" i="2"/>
  <c r="V740" i="2"/>
  <c r="AF739" i="2"/>
  <c r="AD739" i="2"/>
  <c r="AC739" i="2"/>
  <c r="Z739" i="2"/>
  <c r="Y739" i="2"/>
  <c r="AB739" i="2" s="1"/>
  <c r="AA739" i="2" s="1"/>
  <c r="X739" i="2"/>
  <c r="W739" i="2"/>
  <c r="V739" i="2"/>
  <c r="AF738" i="2"/>
  <c r="AD738" i="2"/>
  <c r="AC738" i="2"/>
  <c r="Z738" i="2"/>
  <c r="Y738" i="2"/>
  <c r="AB738" i="2" s="1"/>
  <c r="AA738" i="2" s="1"/>
  <c r="X738" i="2"/>
  <c r="W738" i="2"/>
  <c r="V738" i="2"/>
  <c r="AF737" i="2"/>
  <c r="AD737" i="2"/>
  <c r="AC737" i="2"/>
  <c r="Z737" i="2"/>
  <c r="Y737" i="2"/>
  <c r="AB737" i="2" s="1"/>
  <c r="AA737" i="2" s="1"/>
  <c r="X737" i="2"/>
  <c r="W737" i="2"/>
  <c r="V737" i="2"/>
  <c r="AF736" i="2"/>
  <c r="AD736" i="2"/>
  <c r="AC736" i="2"/>
  <c r="Z736" i="2"/>
  <c r="Y736" i="2"/>
  <c r="AB736" i="2" s="1"/>
  <c r="AA736" i="2" s="1"/>
  <c r="X736" i="2"/>
  <c r="W736" i="2"/>
  <c r="V736" i="2"/>
  <c r="AF735" i="2"/>
  <c r="AD735" i="2"/>
  <c r="AC735" i="2"/>
  <c r="Z735" i="2"/>
  <c r="Y735" i="2"/>
  <c r="AB735" i="2" s="1"/>
  <c r="AA735" i="2" s="1"/>
  <c r="X735" i="2"/>
  <c r="W735" i="2"/>
  <c r="V735" i="2"/>
  <c r="AF734" i="2"/>
  <c r="AD734" i="2"/>
  <c r="AC734" i="2"/>
  <c r="Z734" i="2"/>
  <c r="Y734" i="2"/>
  <c r="AB734" i="2" s="1"/>
  <c r="AA734" i="2" s="1"/>
  <c r="X734" i="2"/>
  <c r="W734" i="2"/>
  <c r="V734" i="2"/>
  <c r="AF733" i="2"/>
  <c r="AD733" i="2"/>
  <c r="AC733" i="2"/>
  <c r="Z733" i="2"/>
  <c r="Y733" i="2"/>
  <c r="AB733" i="2" s="1"/>
  <c r="AA733" i="2" s="1"/>
  <c r="X733" i="2"/>
  <c r="W733" i="2"/>
  <c r="V733" i="2"/>
  <c r="AF732" i="2"/>
  <c r="AD732" i="2"/>
  <c r="AC732" i="2"/>
  <c r="Z732" i="2"/>
  <c r="Y732" i="2"/>
  <c r="AB732" i="2" s="1"/>
  <c r="AA732" i="2" s="1"/>
  <c r="X732" i="2"/>
  <c r="W732" i="2"/>
  <c r="V732" i="2"/>
  <c r="AF731" i="2"/>
  <c r="AD731" i="2"/>
  <c r="AC731" i="2"/>
  <c r="Z731" i="2"/>
  <c r="Y731" i="2"/>
  <c r="AB731" i="2" s="1"/>
  <c r="AA731" i="2" s="1"/>
  <c r="X731" i="2"/>
  <c r="W731" i="2"/>
  <c r="V731" i="2"/>
  <c r="AF730" i="2"/>
  <c r="AD730" i="2"/>
  <c r="AC730" i="2"/>
  <c r="Z730" i="2"/>
  <c r="Y730" i="2"/>
  <c r="AB730" i="2" s="1"/>
  <c r="AA730" i="2" s="1"/>
  <c r="X730" i="2"/>
  <c r="W730" i="2"/>
  <c r="V730" i="2"/>
  <c r="AF729" i="2"/>
  <c r="AD729" i="2"/>
  <c r="AC729" i="2"/>
  <c r="Z729" i="2"/>
  <c r="Y729" i="2"/>
  <c r="AB729" i="2" s="1"/>
  <c r="AA729" i="2" s="1"/>
  <c r="X729" i="2"/>
  <c r="W729" i="2"/>
  <c r="V729" i="2"/>
  <c r="AF728" i="2"/>
  <c r="AD728" i="2"/>
  <c r="AC728" i="2"/>
  <c r="Z728" i="2"/>
  <c r="Y728" i="2"/>
  <c r="AB728" i="2" s="1"/>
  <c r="AA728" i="2" s="1"/>
  <c r="X728" i="2"/>
  <c r="W728" i="2"/>
  <c r="V728" i="2"/>
  <c r="AF727" i="2"/>
  <c r="AD727" i="2"/>
  <c r="AC727" i="2"/>
  <c r="Z727" i="2"/>
  <c r="Y727" i="2"/>
  <c r="AB727" i="2" s="1"/>
  <c r="AA727" i="2" s="1"/>
  <c r="X727" i="2"/>
  <c r="W727" i="2"/>
  <c r="V727" i="2"/>
  <c r="AF726" i="2"/>
  <c r="AD726" i="2"/>
  <c r="AC726" i="2"/>
  <c r="Z726" i="2"/>
  <c r="Y726" i="2"/>
  <c r="AB726" i="2" s="1"/>
  <c r="AA726" i="2" s="1"/>
  <c r="X726" i="2"/>
  <c r="W726" i="2"/>
  <c r="V726" i="2"/>
  <c r="AF725" i="2"/>
  <c r="AD725" i="2"/>
  <c r="AC725" i="2"/>
  <c r="Z725" i="2"/>
  <c r="Y725" i="2"/>
  <c r="AB725" i="2" s="1"/>
  <c r="AA725" i="2" s="1"/>
  <c r="X725" i="2"/>
  <c r="W725" i="2"/>
  <c r="V725" i="2"/>
  <c r="AF724" i="2"/>
  <c r="AD724" i="2"/>
  <c r="AC724" i="2"/>
  <c r="Z724" i="2"/>
  <c r="Y724" i="2"/>
  <c r="AB724" i="2" s="1"/>
  <c r="AA724" i="2" s="1"/>
  <c r="X724" i="2"/>
  <c r="W724" i="2"/>
  <c r="V724" i="2"/>
  <c r="AF723" i="2"/>
  <c r="AD723" i="2"/>
  <c r="AC723" i="2"/>
  <c r="Z723" i="2"/>
  <c r="Y723" i="2"/>
  <c r="AB723" i="2" s="1"/>
  <c r="AA723" i="2" s="1"/>
  <c r="X723" i="2"/>
  <c r="W723" i="2"/>
  <c r="V723" i="2"/>
  <c r="AF722" i="2"/>
  <c r="AD722" i="2"/>
  <c r="AC722" i="2"/>
  <c r="Z722" i="2"/>
  <c r="Y722" i="2"/>
  <c r="AB722" i="2" s="1"/>
  <c r="AA722" i="2" s="1"/>
  <c r="X722" i="2"/>
  <c r="W722" i="2"/>
  <c r="V722" i="2"/>
  <c r="AF721" i="2"/>
  <c r="AD721" i="2"/>
  <c r="AC721" i="2"/>
  <c r="Z721" i="2"/>
  <c r="Y721" i="2"/>
  <c r="AB721" i="2" s="1"/>
  <c r="AA721" i="2" s="1"/>
  <c r="X721" i="2"/>
  <c r="W721" i="2"/>
  <c r="V721" i="2"/>
  <c r="AF720" i="2"/>
  <c r="AD720" i="2"/>
  <c r="AC720" i="2"/>
  <c r="Z720" i="2"/>
  <c r="Y720" i="2"/>
  <c r="AB720" i="2" s="1"/>
  <c r="AA720" i="2" s="1"/>
  <c r="X720" i="2"/>
  <c r="W720" i="2"/>
  <c r="V720" i="2"/>
  <c r="AF719" i="2"/>
  <c r="AD719" i="2"/>
  <c r="AC719" i="2"/>
  <c r="Z719" i="2"/>
  <c r="Y719" i="2"/>
  <c r="AB719" i="2" s="1"/>
  <c r="AA719" i="2" s="1"/>
  <c r="X719" i="2"/>
  <c r="W719" i="2"/>
  <c r="V719" i="2"/>
  <c r="AF718" i="2"/>
  <c r="AD718" i="2"/>
  <c r="AC718" i="2"/>
  <c r="Z718" i="2"/>
  <c r="Y718" i="2"/>
  <c r="AB718" i="2" s="1"/>
  <c r="AA718" i="2" s="1"/>
  <c r="X718" i="2"/>
  <c r="W718" i="2"/>
  <c r="V718" i="2"/>
  <c r="AF717" i="2"/>
  <c r="AD717" i="2"/>
  <c r="AC717" i="2"/>
  <c r="Z717" i="2"/>
  <c r="Y717" i="2"/>
  <c r="AB717" i="2" s="1"/>
  <c r="AA717" i="2" s="1"/>
  <c r="X717" i="2"/>
  <c r="W717" i="2"/>
  <c r="V717" i="2"/>
  <c r="AF716" i="2"/>
  <c r="AD716" i="2"/>
  <c r="AC716" i="2"/>
  <c r="Z716" i="2"/>
  <c r="Y716" i="2"/>
  <c r="AB716" i="2" s="1"/>
  <c r="AA716" i="2" s="1"/>
  <c r="X716" i="2"/>
  <c r="W716" i="2"/>
  <c r="V716" i="2"/>
  <c r="AF715" i="2"/>
  <c r="AD715" i="2"/>
  <c r="AC715" i="2"/>
  <c r="Z715" i="2"/>
  <c r="Y715" i="2"/>
  <c r="AB715" i="2" s="1"/>
  <c r="AA715" i="2" s="1"/>
  <c r="X715" i="2"/>
  <c r="W715" i="2"/>
  <c r="V715" i="2"/>
  <c r="AF714" i="2"/>
  <c r="AD714" i="2"/>
  <c r="AC714" i="2"/>
  <c r="Z714" i="2"/>
  <c r="Y714" i="2"/>
  <c r="AB714" i="2" s="1"/>
  <c r="AA714" i="2" s="1"/>
  <c r="X714" i="2"/>
  <c r="W714" i="2"/>
  <c r="V714" i="2"/>
  <c r="AF713" i="2"/>
  <c r="AD713" i="2"/>
  <c r="AC713" i="2"/>
  <c r="Z713" i="2"/>
  <c r="Y713" i="2"/>
  <c r="AB713" i="2" s="1"/>
  <c r="AA713" i="2" s="1"/>
  <c r="X713" i="2"/>
  <c r="W713" i="2"/>
  <c r="V713" i="2"/>
  <c r="AF712" i="2"/>
  <c r="AD712" i="2"/>
  <c r="AC712" i="2"/>
  <c r="Z712" i="2"/>
  <c r="Y712" i="2"/>
  <c r="AB712" i="2" s="1"/>
  <c r="AA712" i="2" s="1"/>
  <c r="X712" i="2"/>
  <c r="W712" i="2"/>
  <c r="V712" i="2"/>
  <c r="AF711" i="2"/>
  <c r="AD711" i="2"/>
  <c r="AC711" i="2"/>
  <c r="Z711" i="2"/>
  <c r="Y711" i="2"/>
  <c r="AB711" i="2" s="1"/>
  <c r="AA711" i="2" s="1"/>
  <c r="X711" i="2"/>
  <c r="W711" i="2"/>
  <c r="V711" i="2"/>
  <c r="AF710" i="2"/>
  <c r="AD710" i="2"/>
  <c r="AC710" i="2"/>
  <c r="Z710" i="2"/>
  <c r="Y710" i="2"/>
  <c r="AB710" i="2" s="1"/>
  <c r="AA710" i="2" s="1"/>
  <c r="X710" i="2"/>
  <c r="W710" i="2"/>
  <c r="V710" i="2"/>
  <c r="AF709" i="2"/>
  <c r="AD709" i="2"/>
  <c r="AC709" i="2"/>
  <c r="Z709" i="2"/>
  <c r="Y709" i="2"/>
  <c r="AB709" i="2" s="1"/>
  <c r="AA709" i="2" s="1"/>
  <c r="X709" i="2"/>
  <c r="W709" i="2"/>
  <c r="V709" i="2"/>
  <c r="AF708" i="2"/>
  <c r="AD708" i="2"/>
  <c r="AC708" i="2"/>
  <c r="Z708" i="2"/>
  <c r="Y708" i="2"/>
  <c r="AB708" i="2" s="1"/>
  <c r="AA708" i="2" s="1"/>
  <c r="X708" i="2"/>
  <c r="W708" i="2"/>
  <c r="V708" i="2"/>
  <c r="AF707" i="2"/>
  <c r="AD707" i="2"/>
  <c r="AC707" i="2"/>
  <c r="Z707" i="2"/>
  <c r="Y707" i="2"/>
  <c r="AB707" i="2" s="1"/>
  <c r="AA707" i="2" s="1"/>
  <c r="X707" i="2"/>
  <c r="W707" i="2"/>
  <c r="V707" i="2"/>
  <c r="AF706" i="2"/>
  <c r="AD706" i="2"/>
  <c r="AC706" i="2"/>
  <c r="Z706" i="2"/>
  <c r="Y706" i="2"/>
  <c r="AB706" i="2" s="1"/>
  <c r="AA706" i="2" s="1"/>
  <c r="X706" i="2"/>
  <c r="W706" i="2"/>
  <c r="V706" i="2"/>
  <c r="AF705" i="2"/>
  <c r="AD705" i="2"/>
  <c r="AC705" i="2"/>
  <c r="Z705" i="2"/>
  <c r="Y705" i="2"/>
  <c r="AB705" i="2" s="1"/>
  <c r="AA705" i="2" s="1"/>
  <c r="X705" i="2"/>
  <c r="W705" i="2"/>
  <c r="V705" i="2"/>
  <c r="AF704" i="2"/>
  <c r="AD704" i="2"/>
  <c r="AC704" i="2"/>
  <c r="Z704" i="2"/>
  <c r="Y704" i="2"/>
  <c r="AB704" i="2" s="1"/>
  <c r="AA704" i="2" s="1"/>
  <c r="X704" i="2"/>
  <c r="W704" i="2"/>
  <c r="V704" i="2"/>
  <c r="AF703" i="2"/>
  <c r="AD703" i="2"/>
  <c r="AC703" i="2"/>
  <c r="Z703" i="2"/>
  <c r="Y703" i="2"/>
  <c r="AB703" i="2" s="1"/>
  <c r="AA703" i="2" s="1"/>
  <c r="X703" i="2"/>
  <c r="W703" i="2"/>
  <c r="V703" i="2"/>
  <c r="AF702" i="2"/>
  <c r="AD702" i="2"/>
  <c r="AC702" i="2"/>
  <c r="Z702" i="2"/>
  <c r="Y702" i="2"/>
  <c r="AB702" i="2" s="1"/>
  <c r="AA702" i="2" s="1"/>
  <c r="X702" i="2"/>
  <c r="W702" i="2"/>
  <c r="V702" i="2"/>
  <c r="AF701" i="2"/>
  <c r="AD701" i="2"/>
  <c r="AC701" i="2"/>
  <c r="Z701" i="2"/>
  <c r="Y701" i="2"/>
  <c r="AB701" i="2" s="1"/>
  <c r="AA701" i="2" s="1"/>
  <c r="X701" i="2"/>
  <c r="W701" i="2"/>
  <c r="V701" i="2"/>
  <c r="AF700" i="2"/>
  <c r="AD700" i="2"/>
  <c r="AC700" i="2"/>
  <c r="Z700" i="2"/>
  <c r="Y700" i="2"/>
  <c r="AB700" i="2" s="1"/>
  <c r="AA700" i="2" s="1"/>
  <c r="X700" i="2"/>
  <c r="W700" i="2"/>
  <c r="V700" i="2"/>
  <c r="AF699" i="2"/>
  <c r="AD699" i="2"/>
  <c r="AC699" i="2"/>
  <c r="Z699" i="2"/>
  <c r="Y699" i="2"/>
  <c r="AB699" i="2" s="1"/>
  <c r="AA699" i="2" s="1"/>
  <c r="X699" i="2"/>
  <c r="W699" i="2"/>
  <c r="V699" i="2"/>
  <c r="AF698" i="2"/>
  <c r="AD698" i="2"/>
  <c r="AC698" i="2"/>
  <c r="Z698" i="2"/>
  <c r="Y698" i="2"/>
  <c r="AB698" i="2" s="1"/>
  <c r="AA698" i="2" s="1"/>
  <c r="X698" i="2"/>
  <c r="W698" i="2"/>
  <c r="V698" i="2"/>
  <c r="AF697" i="2"/>
  <c r="AD697" i="2"/>
  <c r="AC697" i="2"/>
  <c r="Z697" i="2"/>
  <c r="Y697" i="2"/>
  <c r="AB697" i="2" s="1"/>
  <c r="AA697" i="2" s="1"/>
  <c r="X697" i="2"/>
  <c r="W697" i="2"/>
  <c r="V697" i="2"/>
  <c r="AF696" i="2"/>
  <c r="AD696" i="2"/>
  <c r="AC696" i="2"/>
  <c r="Z696" i="2"/>
  <c r="Y696" i="2"/>
  <c r="AB696" i="2" s="1"/>
  <c r="AA696" i="2" s="1"/>
  <c r="X696" i="2"/>
  <c r="W696" i="2"/>
  <c r="V696" i="2"/>
  <c r="AF695" i="2"/>
  <c r="AD695" i="2"/>
  <c r="AC695" i="2"/>
  <c r="Z695" i="2"/>
  <c r="Y695" i="2"/>
  <c r="AB695" i="2" s="1"/>
  <c r="AA695" i="2" s="1"/>
  <c r="X695" i="2"/>
  <c r="W695" i="2"/>
  <c r="V695" i="2"/>
  <c r="AF694" i="2"/>
  <c r="AD694" i="2"/>
  <c r="AC694" i="2"/>
  <c r="Z694" i="2"/>
  <c r="Y694" i="2"/>
  <c r="AB694" i="2" s="1"/>
  <c r="AA694" i="2" s="1"/>
  <c r="X694" i="2"/>
  <c r="W694" i="2"/>
  <c r="V694" i="2"/>
  <c r="AF693" i="2"/>
  <c r="AD693" i="2"/>
  <c r="AC693" i="2"/>
  <c r="Z693" i="2"/>
  <c r="Y693" i="2"/>
  <c r="AB693" i="2" s="1"/>
  <c r="AA693" i="2" s="1"/>
  <c r="X693" i="2"/>
  <c r="W693" i="2"/>
  <c r="V693" i="2"/>
  <c r="AF692" i="2"/>
  <c r="AD692" i="2"/>
  <c r="AC692" i="2"/>
  <c r="Z692" i="2"/>
  <c r="Y692" i="2"/>
  <c r="AB692" i="2" s="1"/>
  <c r="AA692" i="2" s="1"/>
  <c r="X692" i="2"/>
  <c r="W692" i="2"/>
  <c r="V692" i="2"/>
  <c r="AF691" i="2"/>
  <c r="AD691" i="2"/>
  <c r="AC691" i="2"/>
  <c r="Z691" i="2"/>
  <c r="Y691" i="2"/>
  <c r="AB691" i="2" s="1"/>
  <c r="AA691" i="2" s="1"/>
  <c r="X691" i="2"/>
  <c r="W691" i="2"/>
  <c r="V691" i="2"/>
  <c r="AF690" i="2"/>
  <c r="AD690" i="2"/>
  <c r="AC690" i="2"/>
  <c r="Z690" i="2"/>
  <c r="Y690" i="2"/>
  <c r="AB690" i="2" s="1"/>
  <c r="AA690" i="2" s="1"/>
  <c r="X690" i="2"/>
  <c r="W690" i="2"/>
  <c r="V690" i="2"/>
  <c r="AF689" i="2"/>
  <c r="AD689" i="2"/>
  <c r="AC689" i="2"/>
  <c r="Z689" i="2"/>
  <c r="Y689" i="2"/>
  <c r="AB689" i="2" s="1"/>
  <c r="AA689" i="2" s="1"/>
  <c r="X689" i="2"/>
  <c r="W689" i="2"/>
  <c r="V689" i="2"/>
  <c r="AF688" i="2"/>
  <c r="AD688" i="2"/>
  <c r="AC688" i="2"/>
  <c r="Z688" i="2"/>
  <c r="Y688" i="2"/>
  <c r="AB688" i="2" s="1"/>
  <c r="AA688" i="2" s="1"/>
  <c r="X688" i="2"/>
  <c r="W688" i="2"/>
  <c r="V688" i="2"/>
  <c r="AF687" i="2"/>
  <c r="AD687" i="2"/>
  <c r="AC687" i="2"/>
  <c r="Z687" i="2"/>
  <c r="Y687" i="2"/>
  <c r="AB687" i="2" s="1"/>
  <c r="AA687" i="2" s="1"/>
  <c r="X687" i="2"/>
  <c r="W687" i="2"/>
  <c r="V687" i="2"/>
  <c r="AF686" i="2"/>
  <c r="AD686" i="2"/>
  <c r="AC686" i="2"/>
  <c r="Z686" i="2"/>
  <c r="Y686" i="2"/>
  <c r="AB686" i="2" s="1"/>
  <c r="AA686" i="2" s="1"/>
  <c r="X686" i="2"/>
  <c r="W686" i="2"/>
  <c r="V686" i="2"/>
  <c r="AF685" i="2"/>
  <c r="AD685" i="2"/>
  <c r="AC685" i="2"/>
  <c r="Z685" i="2"/>
  <c r="Y685" i="2"/>
  <c r="AB685" i="2" s="1"/>
  <c r="AA685" i="2" s="1"/>
  <c r="X685" i="2"/>
  <c r="W685" i="2"/>
  <c r="V685" i="2"/>
  <c r="AF684" i="2"/>
  <c r="AD684" i="2"/>
  <c r="AC684" i="2"/>
  <c r="Z684" i="2"/>
  <c r="Y684" i="2"/>
  <c r="AB684" i="2" s="1"/>
  <c r="AA684" i="2" s="1"/>
  <c r="X684" i="2"/>
  <c r="W684" i="2"/>
  <c r="V684" i="2"/>
  <c r="AF683" i="2"/>
  <c r="AD683" i="2"/>
  <c r="AC683" i="2"/>
  <c r="Z683" i="2"/>
  <c r="Y683" i="2"/>
  <c r="AB683" i="2" s="1"/>
  <c r="AA683" i="2" s="1"/>
  <c r="X683" i="2"/>
  <c r="W683" i="2"/>
  <c r="V683" i="2"/>
  <c r="AF682" i="2"/>
  <c r="AD682" i="2"/>
  <c r="AC682" i="2"/>
  <c r="Z682" i="2"/>
  <c r="Y682" i="2"/>
  <c r="AB682" i="2" s="1"/>
  <c r="AA682" i="2" s="1"/>
  <c r="X682" i="2"/>
  <c r="W682" i="2"/>
  <c r="V682" i="2"/>
  <c r="AF681" i="2"/>
  <c r="AD681" i="2"/>
  <c r="AC681" i="2"/>
  <c r="Z681" i="2"/>
  <c r="Y681" i="2"/>
  <c r="AB681" i="2" s="1"/>
  <c r="AA681" i="2" s="1"/>
  <c r="X681" i="2"/>
  <c r="W681" i="2"/>
  <c r="V681" i="2"/>
  <c r="AF680" i="2"/>
  <c r="AD680" i="2"/>
  <c r="AC680" i="2"/>
  <c r="Z680" i="2"/>
  <c r="Y680" i="2"/>
  <c r="AB680" i="2" s="1"/>
  <c r="AA680" i="2" s="1"/>
  <c r="X680" i="2"/>
  <c r="W680" i="2"/>
  <c r="V680" i="2"/>
  <c r="AF679" i="2"/>
  <c r="AD679" i="2"/>
  <c r="AC679" i="2"/>
  <c r="Z679" i="2"/>
  <c r="Y679" i="2"/>
  <c r="AB679" i="2" s="1"/>
  <c r="AA679" i="2" s="1"/>
  <c r="X679" i="2"/>
  <c r="W679" i="2"/>
  <c r="V679" i="2"/>
  <c r="AF678" i="2"/>
  <c r="AD678" i="2"/>
  <c r="AC678" i="2"/>
  <c r="Z678" i="2"/>
  <c r="Y678" i="2"/>
  <c r="AB678" i="2" s="1"/>
  <c r="AA678" i="2" s="1"/>
  <c r="X678" i="2"/>
  <c r="W678" i="2"/>
  <c r="V678" i="2"/>
  <c r="AF677" i="2"/>
  <c r="AD677" i="2"/>
  <c r="AC677" i="2"/>
  <c r="Z677" i="2"/>
  <c r="Y677" i="2"/>
  <c r="AB677" i="2" s="1"/>
  <c r="AA677" i="2" s="1"/>
  <c r="X677" i="2"/>
  <c r="W677" i="2"/>
  <c r="V677" i="2"/>
  <c r="AF676" i="2"/>
  <c r="AD676" i="2"/>
  <c r="AC676" i="2"/>
  <c r="Z676" i="2"/>
  <c r="Y676" i="2"/>
  <c r="AB676" i="2" s="1"/>
  <c r="AA676" i="2" s="1"/>
  <c r="X676" i="2"/>
  <c r="W676" i="2"/>
  <c r="V676" i="2"/>
  <c r="AF675" i="2"/>
  <c r="AD675" i="2"/>
  <c r="AC675" i="2"/>
  <c r="Z675" i="2"/>
  <c r="Y675" i="2"/>
  <c r="AB675" i="2" s="1"/>
  <c r="AA675" i="2" s="1"/>
  <c r="X675" i="2"/>
  <c r="W675" i="2"/>
  <c r="V675" i="2"/>
  <c r="AF674" i="2"/>
  <c r="AD674" i="2"/>
  <c r="AC674" i="2"/>
  <c r="Z674" i="2"/>
  <c r="Y674" i="2"/>
  <c r="AB674" i="2" s="1"/>
  <c r="AA674" i="2" s="1"/>
  <c r="X674" i="2"/>
  <c r="W674" i="2"/>
  <c r="V674" i="2"/>
  <c r="AF673" i="2"/>
  <c r="AD673" i="2"/>
  <c r="AC673" i="2"/>
  <c r="Z673" i="2"/>
  <c r="Y673" i="2"/>
  <c r="AB673" i="2" s="1"/>
  <c r="AA673" i="2" s="1"/>
  <c r="X673" i="2"/>
  <c r="W673" i="2"/>
  <c r="V673" i="2"/>
  <c r="AF672" i="2"/>
  <c r="AD672" i="2"/>
  <c r="AC672" i="2"/>
  <c r="Z672" i="2"/>
  <c r="Y672" i="2"/>
  <c r="AB672" i="2" s="1"/>
  <c r="AA672" i="2" s="1"/>
  <c r="X672" i="2"/>
  <c r="W672" i="2"/>
  <c r="V672" i="2"/>
  <c r="AF671" i="2"/>
  <c r="AD671" i="2"/>
  <c r="AC671" i="2"/>
  <c r="Z671" i="2"/>
  <c r="Y671" i="2"/>
  <c r="AB671" i="2" s="1"/>
  <c r="AA671" i="2" s="1"/>
  <c r="X671" i="2"/>
  <c r="W671" i="2"/>
  <c r="V671" i="2"/>
  <c r="AF670" i="2"/>
  <c r="AD670" i="2"/>
  <c r="AC670" i="2"/>
  <c r="Z670" i="2"/>
  <c r="Y670" i="2"/>
  <c r="AB670" i="2" s="1"/>
  <c r="AA670" i="2" s="1"/>
  <c r="X670" i="2"/>
  <c r="W670" i="2"/>
  <c r="V670" i="2"/>
  <c r="AF669" i="2"/>
  <c r="AD669" i="2"/>
  <c r="AC669" i="2"/>
  <c r="Z669" i="2"/>
  <c r="Y669" i="2"/>
  <c r="AB669" i="2" s="1"/>
  <c r="AA669" i="2" s="1"/>
  <c r="X669" i="2"/>
  <c r="W669" i="2"/>
  <c r="V669" i="2"/>
  <c r="AF668" i="2"/>
  <c r="AD668" i="2"/>
  <c r="AC668" i="2"/>
  <c r="Z668" i="2"/>
  <c r="Y668" i="2"/>
  <c r="AB668" i="2" s="1"/>
  <c r="AA668" i="2" s="1"/>
  <c r="X668" i="2"/>
  <c r="W668" i="2"/>
  <c r="V668" i="2"/>
  <c r="AF667" i="2"/>
  <c r="AD667" i="2"/>
  <c r="AC667" i="2"/>
  <c r="Z667" i="2"/>
  <c r="Y667" i="2"/>
  <c r="AB667" i="2" s="1"/>
  <c r="AA667" i="2" s="1"/>
  <c r="X667" i="2"/>
  <c r="W667" i="2"/>
  <c r="V667" i="2"/>
  <c r="AF666" i="2"/>
  <c r="AD666" i="2"/>
  <c r="AC666" i="2"/>
  <c r="Z666" i="2"/>
  <c r="Y666" i="2"/>
  <c r="AB666" i="2" s="1"/>
  <c r="AA666" i="2" s="1"/>
  <c r="X666" i="2"/>
  <c r="W666" i="2"/>
  <c r="V666" i="2"/>
  <c r="AF665" i="2"/>
  <c r="AD665" i="2"/>
  <c r="AC665" i="2"/>
  <c r="Z665" i="2"/>
  <c r="Y665" i="2"/>
  <c r="AB665" i="2" s="1"/>
  <c r="AA665" i="2" s="1"/>
  <c r="X665" i="2"/>
  <c r="W665" i="2"/>
  <c r="V665" i="2"/>
  <c r="AF664" i="2"/>
  <c r="AD664" i="2"/>
  <c r="AC664" i="2"/>
  <c r="Z664" i="2"/>
  <c r="Y664" i="2"/>
  <c r="AB664" i="2" s="1"/>
  <c r="AA664" i="2" s="1"/>
  <c r="X664" i="2"/>
  <c r="W664" i="2"/>
  <c r="V664" i="2"/>
  <c r="AF663" i="2"/>
  <c r="AD663" i="2"/>
  <c r="AC663" i="2"/>
  <c r="Z663" i="2"/>
  <c r="Y663" i="2"/>
  <c r="AB663" i="2" s="1"/>
  <c r="AA663" i="2" s="1"/>
  <c r="X663" i="2"/>
  <c r="W663" i="2"/>
  <c r="V663" i="2"/>
  <c r="AF662" i="2"/>
  <c r="AD662" i="2"/>
  <c r="AC662" i="2"/>
  <c r="Z662" i="2"/>
  <c r="Y662" i="2"/>
  <c r="AB662" i="2" s="1"/>
  <c r="AA662" i="2" s="1"/>
  <c r="X662" i="2"/>
  <c r="W662" i="2"/>
  <c r="V662" i="2"/>
  <c r="AF661" i="2"/>
  <c r="AD661" i="2"/>
  <c r="AC661" i="2"/>
  <c r="Z661" i="2"/>
  <c r="Y661" i="2"/>
  <c r="AB661" i="2" s="1"/>
  <c r="AA661" i="2" s="1"/>
  <c r="X661" i="2"/>
  <c r="W661" i="2"/>
  <c r="V661" i="2"/>
  <c r="AF660" i="2"/>
  <c r="AD660" i="2"/>
  <c r="AC660" i="2"/>
  <c r="Z660" i="2"/>
  <c r="Y660" i="2"/>
  <c r="AB660" i="2" s="1"/>
  <c r="AA660" i="2" s="1"/>
  <c r="X660" i="2"/>
  <c r="W660" i="2"/>
  <c r="V660" i="2"/>
  <c r="AF659" i="2"/>
  <c r="AD659" i="2"/>
  <c r="AC659" i="2"/>
  <c r="Z659" i="2"/>
  <c r="Y659" i="2"/>
  <c r="AB659" i="2" s="1"/>
  <c r="AA659" i="2" s="1"/>
  <c r="X659" i="2"/>
  <c r="W659" i="2"/>
  <c r="V659" i="2"/>
  <c r="AF658" i="2"/>
  <c r="AD658" i="2"/>
  <c r="AC658" i="2"/>
  <c r="Z658" i="2"/>
  <c r="Y658" i="2"/>
  <c r="AB658" i="2" s="1"/>
  <c r="AA658" i="2" s="1"/>
  <c r="X658" i="2"/>
  <c r="W658" i="2"/>
  <c r="V658" i="2"/>
  <c r="AF657" i="2"/>
  <c r="AD657" i="2"/>
  <c r="AC657" i="2"/>
  <c r="Z657" i="2"/>
  <c r="Y657" i="2"/>
  <c r="AB657" i="2" s="1"/>
  <c r="AA657" i="2" s="1"/>
  <c r="X657" i="2"/>
  <c r="W657" i="2"/>
  <c r="V657" i="2"/>
  <c r="AF656" i="2"/>
  <c r="AD656" i="2"/>
  <c r="AC656" i="2"/>
  <c r="Z656" i="2"/>
  <c r="Y656" i="2"/>
  <c r="AB656" i="2" s="1"/>
  <c r="AA656" i="2" s="1"/>
  <c r="X656" i="2"/>
  <c r="W656" i="2"/>
  <c r="V656" i="2"/>
  <c r="AF655" i="2"/>
  <c r="AD655" i="2"/>
  <c r="AC655" i="2"/>
  <c r="Z655" i="2"/>
  <c r="Y655" i="2"/>
  <c r="AB655" i="2" s="1"/>
  <c r="AA655" i="2" s="1"/>
  <c r="X655" i="2"/>
  <c r="W655" i="2"/>
  <c r="V655" i="2"/>
  <c r="AF654" i="2"/>
  <c r="AD654" i="2"/>
  <c r="AC654" i="2"/>
  <c r="Z654" i="2"/>
  <c r="Y654" i="2"/>
  <c r="AB654" i="2" s="1"/>
  <c r="AA654" i="2" s="1"/>
  <c r="X654" i="2"/>
  <c r="W654" i="2"/>
  <c r="V654" i="2"/>
  <c r="AF653" i="2"/>
  <c r="AD653" i="2"/>
  <c r="AC653" i="2"/>
  <c r="Z653" i="2"/>
  <c r="Y653" i="2"/>
  <c r="AB653" i="2" s="1"/>
  <c r="AA653" i="2" s="1"/>
  <c r="X653" i="2"/>
  <c r="W653" i="2"/>
  <c r="V653" i="2"/>
  <c r="AF652" i="2"/>
  <c r="AD652" i="2"/>
  <c r="AC652" i="2"/>
  <c r="Z652" i="2"/>
  <c r="Y652" i="2"/>
  <c r="AB652" i="2" s="1"/>
  <c r="AA652" i="2" s="1"/>
  <c r="X652" i="2"/>
  <c r="W652" i="2"/>
  <c r="V652" i="2"/>
  <c r="AF651" i="2"/>
  <c r="AD651" i="2"/>
  <c r="AC651" i="2"/>
  <c r="Z651" i="2"/>
  <c r="Y651" i="2"/>
  <c r="AB651" i="2" s="1"/>
  <c r="AA651" i="2" s="1"/>
  <c r="X651" i="2"/>
  <c r="W651" i="2"/>
  <c r="V651" i="2"/>
  <c r="AF650" i="2"/>
  <c r="AD650" i="2"/>
  <c r="AC650" i="2"/>
  <c r="Z650" i="2"/>
  <c r="Y650" i="2"/>
  <c r="AB650" i="2" s="1"/>
  <c r="AA650" i="2" s="1"/>
  <c r="X650" i="2"/>
  <c r="W650" i="2"/>
  <c r="V650" i="2"/>
  <c r="AF649" i="2"/>
  <c r="AD649" i="2"/>
  <c r="AC649" i="2"/>
  <c r="Z649" i="2"/>
  <c r="Y649" i="2"/>
  <c r="AB649" i="2" s="1"/>
  <c r="AA649" i="2" s="1"/>
  <c r="X649" i="2"/>
  <c r="W649" i="2"/>
  <c r="V649" i="2"/>
  <c r="AF648" i="2"/>
  <c r="AD648" i="2"/>
  <c r="AC648" i="2"/>
  <c r="Z648" i="2"/>
  <c r="Y648" i="2"/>
  <c r="AB648" i="2" s="1"/>
  <c r="AA648" i="2" s="1"/>
  <c r="X648" i="2"/>
  <c r="W648" i="2"/>
  <c r="V648" i="2"/>
  <c r="AF647" i="2"/>
  <c r="AD647" i="2"/>
  <c r="AC647" i="2"/>
  <c r="Z647" i="2"/>
  <c r="Y647" i="2"/>
  <c r="AB647" i="2" s="1"/>
  <c r="AA647" i="2" s="1"/>
  <c r="X647" i="2"/>
  <c r="W647" i="2"/>
  <c r="V647" i="2"/>
  <c r="AF646" i="2"/>
  <c r="AD646" i="2"/>
  <c r="AC646" i="2"/>
  <c r="Z646" i="2"/>
  <c r="Y646" i="2"/>
  <c r="AB646" i="2" s="1"/>
  <c r="AA646" i="2" s="1"/>
  <c r="X646" i="2"/>
  <c r="W646" i="2"/>
  <c r="V646" i="2"/>
  <c r="AF645" i="2"/>
  <c r="AD645" i="2"/>
  <c r="AC645" i="2"/>
  <c r="Z645" i="2"/>
  <c r="Y645" i="2"/>
  <c r="AB645" i="2" s="1"/>
  <c r="AA645" i="2" s="1"/>
  <c r="X645" i="2"/>
  <c r="W645" i="2"/>
  <c r="V645" i="2"/>
  <c r="AF644" i="2"/>
  <c r="AD644" i="2"/>
  <c r="AC644" i="2"/>
  <c r="Z644" i="2"/>
  <c r="Y644" i="2"/>
  <c r="AB644" i="2" s="1"/>
  <c r="AA644" i="2" s="1"/>
  <c r="X644" i="2"/>
  <c r="W644" i="2"/>
  <c r="V644" i="2"/>
  <c r="AF643" i="2"/>
  <c r="AD643" i="2"/>
  <c r="AC643" i="2"/>
  <c r="Z643" i="2"/>
  <c r="Y643" i="2"/>
  <c r="AB643" i="2" s="1"/>
  <c r="AA643" i="2" s="1"/>
  <c r="X643" i="2"/>
  <c r="W643" i="2"/>
  <c r="V643" i="2"/>
  <c r="AF642" i="2"/>
  <c r="AD642" i="2"/>
  <c r="AC642" i="2"/>
  <c r="Z642" i="2"/>
  <c r="Y642" i="2"/>
  <c r="AB642" i="2" s="1"/>
  <c r="AA642" i="2" s="1"/>
  <c r="X642" i="2"/>
  <c r="W642" i="2"/>
  <c r="V642" i="2"/>
  <c r="AF641" i="2"/>
  <c r="AD641" i="2"/>
  <c r="AC641" i="2"/>
  <c r="Z641" i="2"/>
  <c r="Y641" i="2"/>
  <c r="AB641" i="2" s="1"/>
  <c r="AA641" i="2" s="1"/>
  <c r="X641" i="2"/>
  <c r="W641" i="2"/>
  <c r="V641" i="2"/>
  <c r="AF640" i="2"/>
  <c r="AD640" i="2"/>
  <c r="AC640" i="2"/>
  <c r="Z640" i="2"/>
  <c r="Y640" i="2"/>
  <c r="AB640" i="2" s="1"/>
  <c r="AA640" i="2" s="1"/>
  <c r="X640" i="2"/>
  <c r="W640" i="2"/>
  <c r="V640" i="2"/>
  <c r="AF639" i="2"/>
  <c r="AD639" i="2"/>
  <c r="AC639" i="2"/>
  <c r="Z639" i="2"/>
  <c r="Y639" i="2"/>
  <c r="AB639" i="2" s="1"/>
  <c r="AA639" i="2" s="1"/>
  <c r="X639" i="2"/>
  <c r="W639" i="2"/>
  <c r="V639" i="2"/>
  <c r="AF638" i="2"/>
  <c r="AD638" i="2"/>
  <c r="AC638" i="2"/>
  <c r="Z638" i="2"/>
  <c r="Y638" i="2"/>
  <c r="AB638" i="2" s="1"/>
  <c r="AA638" i="2" s="1"/>
  <c r="X638" i="2"/>
  <c r="W638" i="2"/>
  <c r="V638" i="2"/>
  <c r="AF637" i="2"/>
  <c r="AD637" i="2"/>
  <c r="AC637" i="2"/>
  <c r="Z637" i="2"/>
  <c r="Y637" i="2"/>
  <c r="AB637" i="2" s="1"/>
  <c r="AA637" i="2" s="1"/>
  <c r="X637" i="2"/>
  <c r="W637" i="2"/>
  <c r="V637" i="2"/>
  <c r="AF636" i="2"/>
  <c r="AD636" i="2"/>
  <c r="AC636" i="2"/>
  <c r="Z636" i="2"/>
  <c r="Y636" i="2"/>
  <c r="AB636" i="2" s="1"/>
  <c r="AA636" i="2" s="1"/>
  <c r="X636" i="2"/>
  <c r="W636" i="2"/>
  <c r="V636" i="2"/>
  <c r="AF635" i="2"/>
  <c r="AD635" i="2"/>
  <c r="AC635" i="2"/>
  <c r="Z635" i="2"/>
  <c r="Y635" i="2"/>
  <c r="AB635" i="2" s="1"/>
  <c r="AA635" i="2" s="1"/>
  <c r="X635" i="2"/>
  <c r="W635" i="2"/>
  <c r="V635" i="2"/>
  <c r="AF634" i="2"/>
  <c r="AD634" i="2"/>
  <c r="AC634" i="2"/>
  <c r="Z634" i="2"/>
  <c r="Y634" i="2"/>
  <c r="AB634" i="2" s="1"/>
  <c r="AA634" i="2" s="1"/>
  <c r="X634" i="2"/>
  <c r="W634" i="2"/>
  <c r="V634" i="2"/>
  <c r="AF633" i="2"/>
  <c r="AD633" i="2"/>
  <c r="AC633" i="2"/>
  <c r="Z633" i="2"/>
  <c r="Y633" i="2"/>
  <c r="AB633" i="2" s="1"/>
  <c r="AA633" i="2" s="1"/>
  <c r="X633" i="2"/>
  <c r="W633" i="2"/>
  <c r="V633" i="2"/>
  <c r="AF632" i="2"/>
  <c r="AD632" i="2"/>
  <c r="AC632" i="2"/>
  <c r="Z632" i="2"/>
  <c r="Y632" i="2"/>
  <c r="AB632" i="2" s="1"/>
  <c r="AA632" i="2" s="1"/>
  <c r="X632" i="2"/>
  <c r="W632" i="2"/>
  <c r="V632" i="2"/>
  <c r="AF631" i="2"/>
  <c r="AD631" i="2"/>
  <c r="AC631" i="2"/>
  <c r="Z631" i="2"/>
  <c r="Y631" i="2"/>
  <c r="AB631" i="2" s="1"/>
  <c r="AA631" i="2" s="1"/>
  <c r="X631" i="2"/>
  <c r="W631" i="2"/>
  <c r="V631" i="2"/>
  <c r="AF630" i="2"/>
  <c r="AD630" i="2"/>
  <c r="AC630" i="2"/>
  <c r="Z630" i="2"/>
  <c r="Y630" i="2"/>
  <c r="AB630" i="2" s="1"/>
  <c r="AA630" i="2" s="1"/>
  <c r="X630" i="2"/>
  <c r="W630" i="2"/>
  <c r="V630" i="2"/>
  <c r="AF629" i="2"/>
  <c r="AD629" i="2"/>
  <c r="AC629" i="2"/>
  <c r="Z629" i="2"/>
  <c r="Y629" i="2"/>
  <c r="AB629" i="2" s="1"/>
  <c r="AA629" i="2" s="1"/>
  <c r="X629" i="2"/>
  <c r="W629" i="2"/>
  <c r="V629" i="2"/>
  <c r="AF628" i="2"/>
  <c r="AD628" i="2"/>
  <c r="AC628" i="2"/>
  <c r="Z628" i="2"/>
  <c r="Y628" i="2"/>
  <c r="AB628" i="2" s="1"/>
  <c r="AA628" i="2" s="1"/>
  <c r="X628" i="2"/>
  <c r="W628" i="2"/>
  <c r="V628" i="2"/>
  <c r="AF627" i="2"/>
  <c r="AD627" i="2"/>
  <c r="AC627" i="2"/>
  <c r="Z627" i="2"/>
  <c r="Y627" i="2"/>
  <c r="AB627" i="2" s="1"/>
  <c r="AA627" i="2" s="1"/>
  <c r="X627" i="2"/>
  <c r="W627" i="2"/>
  <c r="V627" i="2"/>
  <c r="AF626" i="2"/>
  <c r="AD626" i="2"/>
  <c r="AC626" i="2"/>
  <c r="Z626" i="2"/>
  <c r="Y626" i="2"/>
  <c r="AB626" i="2" s="1"/>
  <c r="AA626" i="2" s="1"/>
  <c r="X626" i="2"/>
  <c r="W626" i="2"/>
  <c r="V626" i="2"/>
  <c r="AF625" i="2"/>
  <c r="AD625" i="2"/>
  <c r="AC625" i="2"/>
  <c r="Z625" i="2"/>
  <c r="Y625" i="2"/>
  <c r="AB625" i="2" s="1"/>
  <c r="AA625" i="2" s="1"/>
  <c r="X625" i="2"/>
  <c r="W625" i="2"/>
  <c r="V625" i="2"/>
  <c r="AF624" i="2"/>
  <c r="AD624" i="2"/>
  <c r="AC624" i="2"/>
  <c r="Z624" i="2"/>
  <c r="Y624" i="2"/>
  <c r="AB624" i="2" s="1"/>
  <c r="AA624" i="2" s="1"/>
  <c r="X624" i="2"/>
  <c r="W624" i="2"/>
  <c r="V624" i="2"/>
  <c r="AF623" i="2"/>
  <c r="AD623" i="2"/>
  <c r="AC623" i="2"/>
  <c r="Z623" i="2"/>
  <c r="Y623" i="2"/>
  <c r="AB623" i="2" s="1"/>
  <c r="AA623" i="2" s="1"/>
  <c r="X623" i="2"/>
  <c r="W623" i="2"/>
  <c r="V623" i="2"/>
  <c r="AF622" i="2"/>
  <c r="AD622" i="2"/>
  <c r="AC622" i="2"/>
  <c r="Z622" i="2"/>
  <c r="Y622" i="2"/>
  <c r="AB622" i="2" s="1"/>
  <c r="AA622" i="2" s="1"/>
  <c r="X622" i="2"/>
  <c r="W622" i="2"/>
  <c r="V622" i="2"/>
  <c r="AF621" i="2"/>
  <c r="AD621" i="2"/>
  <c r="AC621" i="2"/>
  <c r="Z621" i="2"/>
  <c r="Y621" i="2"/>
  <c r="AB621" i="2" s="1"/>
  <c r="AA621" i="2" s="1"/>
  <c r="X621" i="2"/>
  <c r="W621" i="2"/>
  <c r="V621" i="2"/>
  <c r="AF620" i="2"/>
  <c r="AD620" i="2"/>
  <c r="AC620" i="2"/>
  <c r="Z620" i="2"/>
  <c r="Y620" i="2"/>
  <c r="AB620" i="2" s="1"/>
  <c r="AA620" i="2" s="1"/>
  <c r="X620" i="2"/>
  <c r="W620" i="2"/>
  <c r="V620" i="2"/>
  <c r="AF619" i="2"/>
  <c r="AD619" i="2"/>
  <c r="AC619" i="2"/>
  <c r="Z619" i="2"/>
  <c r="Y619" i="2"/>
  <c r="AB619" i="2" s="1"/>
  <c r="AA619" i="2" s="1"/>
  <c r="X619" i="2"/>
  <c r="W619" i="2"/>
  <c r="V619" i="2"/>
  <c r="AF618" i="2"/>
  <c r="AD618" i="2"/>
  <c r="AC618" i="2"/>
  <c r="Z618" i="2"/>
  <c r="Y618" i="2"/>
  <c r="AB618" i="2" s="1"/>
  <c r="AA618" i="2" s="1"/>
  <c r="X618" i="2"/>
  <c r="W618" i="2"/>
  <c r="V618" i="2"/>
  <c r="AF617" i="2"/>
  <c r="AD617" i="2"/>
  <c r="AC617" i="2"/>
  <c r="Z617" i="2"/>
  <c r="Y617" i="2"/>
  <c r="AB617" i="2" s="1"/>
  <c r="AA617" i="2" s="1"/>
  <c r="X617" i="2"/>
  <c r="W617" i="2"/>
  <c r="V617" i="2"/>
  <c r="AF616" i="2"/>
  <c r="AD616" i="2"/>
  <c r="AC616" i="2"/>
  <c r="Z616" i="2"/>
  <c r="Y616" i="2"/>
  <c r="AB616" i="2" s="1"/>
  <c r="AA616" i="2" s="1"/>
  <c r="X616" i="2"/>
  <c r="W616" i="2"/>
  <c r="V616" i="2"/>
  <c r="AF615" i="2"/>
  <c r="AD615" i="2"/>
  <c r="AC615" i="2"/>
  <c r="Z615" i="2"/>
  <c r="Y615" i="2"/>
  <c r="AB615" i="2" s="1"/>
  <c r="AA615" i="2" s="1"/>
  <c r="X615" i="2"/>
  <c r="W615" i="2"/>
  <c r="V615" i="2"/>
  <c r="AF614" i="2"/>
  <c r="AD614" i="2"/>
  <c r="AC614" i="2"/>
  <c r="Z614" i="2"/>
  <c r="Y614" i="2"/>
  <c r="AB614" i="2" s="1"/>
  <c r="AA614" i="2" s="1"/>
  <c r="X614" i="2"/>
  <c r="W614" i="2"/>
  <c r="V614" i="2"/>
  <c r="AF613" i="2"/>
  <c r="AD613" i="2"/>
  <c r="AC613" i="2"/>
  <c r="Z613" i="2"/>
  <c r="Y613" i="2"/>
  <c r="AB613" i="2" s="1"/>
  <c r="AA613" i="2" s="1"/>
  <c r="X613" i="2"/>
  <c r="W613" i="2"/>
  <c r="V613" i="2"/>
  <c r="AF612" i="2"/>
  <c r="AD612" i="2"/>
  <c r="AC612" i="2"/>
  <c r="Z612" i="2"/>
  <c r="Y612" i="2"/>
  <c r="AB612" i="2" s="1"/>
  <c r="AA612" i="2" s="1"/>
  <c r="X612" i="2"/>
  <c r="W612" i="2"/>
  <c r="V612" i="2"/>
  <c r="AF611" i="2"/>
  <c r="AD611" i="2"/>
  <c r="AC611" i="2"/>
  <c r="Z611" i="2"/>
  <c r="Y611" i="2"/>
  <c r="AB611" i="2" s="1"/>
  <c r="AA611" i="2" s="1"/>
  <c r="X611" i="2"/>
  <c r="W611" i="2"/>
  <c r="V611" i="2"/>
  <c r="AF610" i="2"/>
  <c r="AD610" i="2"/>
  <c r="AC610" i="2"/>
  <c r="Z610" i="2"/>
  <c r="Y610" i="2"/>
  <c r="AB610" i="2" s="1"/>
  <c r="AA610" i="2" s="1"/>
  <c r="X610" i="2"/>
  <c r="W610" i="2"/>
  <c r="V610" i="2"/>
  <c r="AF609" i="2"/>
  <c r="AD609" i="2"/>
  <c r="AC609" i="2"/>
  <c r="Z609" i="2"/>
  <c r="Y609" i="2"/>
  <c r="AB609" i="2" s="1"/>
  <c r="AA609" i="2" s="1"/>
  <c r="X609" i="2"/>
  <c r="W609" i="2"/>
  <c r="V609" i="2"/>
  <c r="AF608" i="2"/>
  <c r="AD608" i="2"/>
  <c r="AC608" i="2"/>
  <c r="Z608" i="2"/>
  <c r="Y608" i="2"/>
  <c r="AB608" i="2" s="1"/>
  <c r="AA608" i="2" s="1"/>
  <c r="X608" i="2"/>
  <c r="W608" i="2"/>
  <c r="V608" i="2"/>
  <c r="AF607" i="2"/>
  <c r="AD607" i="2"/>
  <c r="AC607" i="2"/>
  <c r="Z607" i="2"/>
  <c r="Y607" i="2"/>
  <c r="AB607" i="2" s="1"/>
  <c r="AA607" i="2" s="1"/>
  <c r="X607" i="2"/>
  <c r="W607" i="2"/>
  <c r="V607" i="2"/>
  <c r="AF606" i="2"/>
  <c r="AD606" i="2"/>
  <c r="AC606" i="2"/>
  <c r="Z606" i="2"/>
  <c r="Y606" i="2"/>
  <c r="AB606" i="2" s="1"/>
  <c r="AA606" i="2" s="1"/>
  <c r="X606" i="2"/>
  <c r="W606" i="2"/>
  <c r="V606" i="2"/>
  <c r="AF605" i="2"/>
  <c r="AD605" i="2"/>
  <c r="AC605" i="2"/>
  <c r="Z605" i="2"/>
  <c r="Y605" i="2"/>
  <c r="AB605" i="2" s="1"/>
  <c r="AA605" i="2" s="1"/>
  <c r="X605" i="2"/>
  <c r="W605" i="2"/>
  <c r="V605" i="2"/>
  <c r="AF604" i="2"/>
  <c r="AD604" i="2"/>
  <c r="AC604" i="2"/>
  <c r="Z604" i="2"/>
  <c r="Y604" i="2"/>
  <c r="AB604" i="2" s="1"/>
  <c r="AA604" i="2" s="1"/>
  <c r="X604" i="2"/>
  <c r="W604" i="2"/>
  <c r="V604" i="2"/>
  <c r="AF603" i="2"/>
  <c r="AD603" i="2"/>
  <c r="AC603" i="2"/>
  <c r="Z603" i="2"/>
  <c r="Y603" i="2"/>
  <c r="AB603" i="2" s="1"/>
  <c r="AA603" i="2" s="1"/>
  <c r="X603" i="2"/>
  <c r="W603" i="2"/>
  <c r="V603" i="2"/>
  <c r="AF602" i="2"/>
  <c r="AD602" i="2"/>
  <c r="AC602" i="2"/>
  <c r="Z602" i="2"/>
  <c r="Y602" i="2"/>
  <c r="AB602" i="2" s="1"/>
  <c r="AA602" i="2" s="1"/>
  <c r="X602" i="2"/>
  <c r="W602" i="2"/>
  <c r="V602" i="2"/>
  <c r="AF601" i="2"/>
  <c r="AD601" i="2"/>
  <c r="AC601" i="2"/>
  <c r="Z601" i="2"/>
  <c r="Y601" i="2"/>
  <c r="AB601" i="2" s="1"/>
  <c r="AA601" i="2" s="1"/>
  <c r="X601" i="2"/>
  <c r="W601" i="2"/>
  <c r="V601" i="2"/>
  <c r="AF600" i="2"/>
  <c r="AD600" i="2"/>
  <c r="AC600" i="2"/>
  <c r="Z600" i="2"/>
  <c r="Y600" i="2"/>
  <c r="AB600" i="2" s="1"/>
  <c r="AA600" i="2" s="1"/>
  <c r="X600" i="2"/>
  <c r="W600" i="2"/>
  <c r="V600" i="2"/>
  <c r="AF599" i="2"/>
  <c r="AD599" i="2"/>
  <c r="AC599" i="2"/>
  <c r="Z599" i="2"/>
  <c r="Y599" i="2"/>
  <c r="AB599" i="2" s="1"/>
  <c r="AA599" i="2" s="1"/>
  <c r="X599" i="2"/>
  <c r="W599" i="2"/>
  <c r="V599" i="2"/>
  <c r="AF598" i="2"/>
  <c r="AD598" i="2"/>
  <c r="AC598" i="2"/>
  <c r="Z598" i="2"/>
  <c r="Y598" i="2"/>
  <c r="AB598" i="2" s="1"/>
  <c r="AA598" i="2" s="1"/>
  <c r="X598" i="2"/>
  <c r="W598" i="2"/>
  <c r="V598" i="2"/>
  <c r="AF597" i="2"/>
  <c r="AD597" i="2"/>
  <c r="AC597" i="2"/>
  <c r="Z597" i="2"/>
  <c r="Y597" i="2"/>
  <c r="AB597" i="2" s="1"/>
  <c r="AA597" i="2" s="1"/>
  <c r="X597" i="2"/>
  <c r="W597" i="2"/>
  <c r="V597" i="2"/>
  <c r="AF596" i="2"/>
  <c r="AD596" i="2"/>
  <c r="AC596" i="2"/>
  <c r="Z596" i="2"/>
  <c r="Y596" i="2"/>
  <c r="AB596" i="2" s="1"/>
  <c r="AA596" i="2" s="1"/>
  <c r="X596" i="2"/>
  <c r="W596" i="2"/>
  <c r="V596" i="2"/>
  <c r="AF595" i="2"/>
  <c r="AD595" i="2"/>
  <c r="AC595" i="2"/>
  <c r="Z595" i="2"/>
  <c r="Y595" i="2"/>
  <c r="AB595" i="2" s="1"/>
  <c r="AA595" i="2" s="1"/>
  <c r="X595" i="2"/>
  <c r="W595" i="2"/>
  <c r="V595" i="2"/>
  <c r="AF594" i="2"/>
  <c r="AD594" i="2"/>
  <c r="AC594" i="2"/>
  <c r="Z594" i="2"/>
  <c r="Y594" i="2"/>
  <c r="AB594" i="2" s="1"/>
  <c r="AA594" i="2" s="1"/>
  <c r="X594" i="2"/>
  <c r="W594" i="2"/>
  <c r="V594" i="2"/>
  <c r="AF593" i="2"/>
  <c r="AD593" i="2"/>
  <c r="AC593" i="2"/>
  <c r="Z593" i="2"/>
  <c r="Y593" i="2"/>
  <c r="AB593" i="2" s="1"/>
  <c r="AA593" i="2" s="1"/>
  <c r="X593" i="2"/>
  <c r="W593" i="2"/>
  <c r="V593" i="2"/>
  <c r="AF592" i="2"/>
  <c r="AD592" i="2"/>
  <c r="AC592" i="2"/>
  <c r="Z592" i="2"/>
  <c r="Y592" i="2"/>
  <c r="AB592" i="2" s="1"/>
  <c r="AA592" i="2" s="1"/>
  <c r="X592" i="2"/>
  <c r="W592" i="2"/>
  <c r="V592" i="2"/>
  <c r="AF591" i="2"/>
  <c r="AD591" i="2"/>
  <c r="AC591" i="2"/>
  <c r="Z591" i="2"/>
  <c r="Y591" i="2"/>
  <c r="AB591" i="2" s="1"/>
  <c r="AA591" i="2" s="1"/>
  <c r="X591" i="2"/>
  <c r="W591" i="2"/>
  <c r="V591" i="2"/>
  <c r="AF590" i="2"/>
  <c r="AD590" i="2"/>
  <c r="AC590" i="2"/>
  <c r="Z590" i="2"/>
  <c r="Y590" i="2"/>
  <c r="AB590" i="2" s="1"/>
  <c r="AA590" i="2" s="1"/>
  <c r="X590" i="2"/>
  <c r="W590" i="2"/>
  <c r="V590" i="2"/>
  <c r="AF589" i="2"/>
  <c r="AD589" i="2"/>
  <c r="AC589" i="2"/>
  <c r="Z589" i="2"/>
  <c r="Y589" i="2"/>
  <c r="AB589" i="2" s="1"/>
  <c r="AA589" i="2" s="1"/>
  <c r="X589" i="2"/>
  <c r="W589" i="2"/>
  <c r="V589" i="2"/>
  <c r="AF588" i="2"/>
  <c r="AD588" i="2"/>
  <c r="AC588" i="2"/>
  <c r="Z588" i="2"/>
  <c r="Y588" i="2"/>
  <c r="AB588" i="2" s="1"/>
  <c r="AA588" i="2" s="1"/>
  <c r="X588" i="2"/>
  <c r="W588" i="2"/>
  <c r="V588" i="2"/>
  <c r="AF587" i="2"/>
  <c r="AD587" i="2"/>
  <c r="AC587" i="2"/>
  <c r="Z587" i="2"/>
  <c r="Y587" i="2"/>
  <c r="AB587" i="2" s="1"/>
  <c r="AA587" i="2" s="1"/>
  <c r="X587" i="2"/>
  <c r="W587" i="2"/>
  <c r="V587" i="2"/>
  <c r="AF586" i="2"/>
  <c r="AD586" i="2"/>
  <c r="AC586" i="2"/>
  <c r="Z586" i="2"/>
  <c r="Y586" i="2"/>
  <c r="AB586" i="2" s="1"/>
  <c r="AA586" i="2" s="1"/>
  <c r="X586" i="2"/>
  <c r="W586" i="2"/>
  <c r="V586" i="2"/>
  <c r="AF585" i="2"/>
  <c r="AD585" i="2"/>
  <c r="AC585" i="2"/>
  <c r="Z585" i="2"/>
  <c r="Y585" i="2"/>
  <c r="AB585" i="2" s="1"/>
  <c r="AA585" i="2" s="1"/>
  <c r="X585" i="2"/>
  <c r="W585" i="2"/>
  <c r="V585" i="2"/>
  <c r="AF584" i="2"/>
  <c r="AD584" i="2"/>
  <c r="AC584" i="2"/>
  <c r="Z584" i="2"/>
  <c r="Y584" i="2"/>
  <c r="AB584" i="2" s="1"/>
  <c r="AA584" i="2" s="1"/>
  <c r="X584" i="2"/>
  <c r="W584" i="2"/>
  <c r="V584" i="2"/>
  <c r="AF583" i="2"/>
  <c r="AD583" i="2"/>
  <c r="AC583" i="2"/>
  <c r="Z583" i="2"/>
  <c r="Y583" i="2"/>
  <c r="AB583" i="2" s="1"/>
  <c r="AA583" i="2" s="1"/>
  <c r="X583" i="2"/>
  <c r="W583" i="2"/>
  <c r="V583" i="2"/>
  <c r="AF582" i="2"/>
  <c r="AD582" i="2"/>
  <c r="AC582" i="2"/>
  <c r="Z582" i="2"/>
  <c r="Y582" i="2"/>
  <c r="AB582" i="2" s="1"/>
  <c r="AA582" i="2" s="1"/>
  <c r="X582" i="2"/>
  <c r="W582" i="2"/>
  <c r="V582" i="2"/>
  <c r="AF581" i="2"/>
  <c r="AD581" i="2"/>
  <c r="AC581" i="2"/>
  <c r="Z581" i="2"/>
  <c r="Y581" i="2"/>
  <c r="AB581" i="2" s="1"/>
  <c r="AA581" i="2" s="1"/>
  <c r="X581" i="2"/>
  <c r="W581" i="2"/>
  <c r="V581" i="2"/>
  <c r="AF580" i="2"/>
  <c r="AD580" i="2"/>
  <c r="AC580" i="2"/>
  <c r="Z580" i="2"/>
  <c r="Y580" i="2"/>
  <c r="AB580" i="2" s="1"/>
  <c r="AA580" i="2" s="1"/>
  <c r="X580" i="2"/>
  <c r="W580" i="2"/>
  <c r="V580" i="2"/>
  <c r="AF579" i="2"/>
  <c r="AD579" i="2"/>
  <c r="AC579" i="2"/>
  <c r="Z579" i="2"/>
  <c r="Y579" i="2"/>
  <c r="AB579" i="2" s="1"/>
  <c r="AA579" i="2" s="1"/>
  <c r="X579" i="2"/>
  <c r="W579" i="2"/>
  <c r="V579" i="2"/>
  <c r="AF578" i="2"/>
  <c r="AD578" i="2"/>
  <c r="AC578" i="2"/>
  <c r="Z578" i="2"/>
  <c r="Y578" i="2"/>
  <c r="AB578" i="2" s="1"/>
  <c r="AA578" i="2" s="1"/>
  <c r="X578" i="2"/>
  <c r="W578" i="2"/>
  <c r="V578" i="2"/>
  <c r="AF577" i="2"/>
  <c r="AD577" i="2"/>
  <c r="AC577" i="2"/>
  <c r="Z577" i="2"/>
  <c r="Y577" i="2"/>
  <c r="AB577" i="2" s="1"/>
  <c r="AA577" i="2" s="1"/>
  <c r="X577" i="2"/>
  <c r="W577" i="2"/>
  <c r="V577" i="2"/>
  <c r="AF576" i="2"/>
  <c r="AD576" i="2"/>
  <c r="AC576" i="2"/>
  <c r="Z576" i="2"/>
  <c r="Y576" i="2"/>
  <c r="AB576" i="2" s="1"/>
  <c r="AA576" i="2" s="1"/>
  <c r="X576" i="2"/>
  <c r="W576" i="2"/>
  <c r="V576" i="2"/>
  <c r="AF575" i="2"/>
  <c r="AD575" i="2"/>
  <c r="AC575" i="2"/>
  <c r="Z575" i="2"/>
  <c r="Y575" i="2"/>
  <c r="AB575" i="2" s="1"/>
  <c r="AA575" i="2" s="1"/>
  <c r="X575" i="2"/>
  <c r="W575" i="2"/>
  <c r="V575" i="2"/>
  <c r="AF574" i="2"/>
  <c r="AD574" i="2"/>
  <c r="AC574" i="2"/>
  <c r="Z574" i="2"/>
  <c r="Y574" i="2"/>
  <c r="AB574" i="2" s="1"/>
  <c r="AA574" i="2" s="1"/>
  <c r="X574" i="2"/>
  <c r="W574" i="2"/>
  <c r="V574" i="2"/>
  <c r="AF573" i="2"/>
  <c r="AD573" i="2"/>
  <c r="AC573" i="2"/>
  <c r="Z573" i="2"/>
  <c r="Y573" i="2"/>
  <c r="AB573" i="2" s="1"/>
  <c r="AA573" i="2" s="1"/>
  <c r="X573" i="2"/>
  <c r="W573" i="2"/>
  <c r="V573" i="2"/>
  <c r="AF572" i="2"/>
  <c r="AD572" i="2"/>
  <c r="AC572" i="2"/>
  <c r="Z572" i="2"/>
  <c r="Y572" i="2"/>
  <c r="AB572" i="2" s="1"/>
  <c r="AA572" i="2" s="1"/>
  <c r="X572" i="2"/>
  <c r="W572" i="2"/>
  <c r="V572" i="2"/>
  <c r="AF571" i="2"/>
  <c r="AD571" i="2"/>
  <c r="AC571" i="2"/>
  <c r="Z571" i="2"/>
  <c r="Y571" i="2"/>
  <c r="AB571" i="2" s="1"/>
  <c r="AA571" i="2" s="1"/>
  <c r="X571" i="2"/>
  <c r="W571" i="2"/>
  <c r="V571" i="2"/>
  <c r="AF570" i="2"/>
  <c r="AD570" i="2"/>
  <c r="AC570" i="2"/>
  <c r="Z570" i="2"/>
  <c r="Y570" i="2"/>
  <c r="AB570" i="2" s="1"/>
  <c r="AA570" i="2" s="1"/>
  <c r="X570" i="2"/>
  <c r="W570" i="2"/>
  <c r="V570" i="2"/>
  <c r="AF569" i="2"/>
  <c r="AD569" i="2"/>
  <c r="AC569" i="2"/>
  <c r="Z569" i="2"/>
  <c r="Y569" i="2"/>
  <c r="AB569" i="2" s="1"/>
  <c r="AA569" i="2" s="1"/>
  <c r="X569" i="2"/>
  <c r="W569" i="2"/>
  <c r="V569" i="2"/>
  <c r="AF568" i="2"/>
  <c r="AD568" i="2"/>
  <c r="AC568" i="2"/>
  <c r="Z568" i="2"/>
  <c r="Y568" i="2"/>
  <c r="AB568" i="2" s="1"/>
  <c r="AA568" i="2" s="1"/>
  <c r="X568" i="2"/>
  <c r="W568" i="2"/>
  <c r="V568" i="2"/>
  <c r="AF567" i="2"/>
  <c r="AD567" i="2"/>
  <c r="AC567" i="2"/>
  <c r="Z567" i="2"/>
  <c r="Y567" i="2"/>
  <c r="AB567" i="2" s="1"/>
  <c r="AA567" i="2" s="1"/>
  <c r="X567" i="2"/>
  <c r="W567" i="2"/>
  <c r="V567" i="2"/>
  <c r="AF566" i="2"/>
  <c r="AD566" i="2"/>
  <c r="AC566" i="2"/>
  <c r="Z566" i="2"/>
  <c r="Y566" i="2"/>
  <c r="AB566" i="2" s="1"/>
  <c r="AA566" i="2" s="1"/>
  <c r="X566" i="2"/>
  <c r="W566" i="2"/>
  <c r="V566" i="2"/>
  <c r="AF565" i="2"/>
  <c r="AD565" i="2"/>
  <c r="AC565" i="2"/>
  <c r="Z565" i="2"/>
  <c r="Y565" i="2"/>
  <c r="AB565" i="2" s="1"/>
  <c r="AA565" i="2" s="1"/>
  <c r="X565" i="2"/>
  <c r="W565" i="2"/>
  <c r="V565" i="2"/>
  <c r="AF564" i="2"/>
  <c r="AD564" i="2"/>
  <c r="AC564" i="2"/>
  <c r="Z564" i="2"/>
  <c r="Y564" i="2"/>
  <c r="AB564" i="2" s="1"/>
  <c r="AA564" i="2" s="1"/>
  <c r="X564" i="2"/>
  <c r="W564" i="2"/>
  <c r="V564" i="2"/>
  <c r="AF563" i="2"/>
  <c r="AD563" i="2"/>
  <c r="AC563" i="2"/>
  <c r="Z563" i="2"/>
  <c r="Y563" i="2"/>
  <c r="AB563" i="2" s="1"/>
  <c r="AA563" i="2" s="1"/>
  <c r="X563" i="2"/>
  <c r="W563" i="2"/>
  <c r="V563" i="2"/>
  <c r="AF562" i="2"/>
  <c r="AD562" i="2"/>
  <c r="AC562" i="2"/>
  <c r="Z562" i="2"/>
  <c r="Y562" i="2"/>
  <c r="AB562" i="2" s="1"/>
  <c r="AA562" i="2" s="1"/>
  <c r="X562" i="2"/>
  <c r="W562" i="2"/>
  <c r="V562" i="2"/>
  <c r="AF561" i="2"/>
  <c r="AD561" i="2"/>
  <c r="AC561" i="2"/>
  <c r="Z561" i="2"/>
  <c r="Y561" i="2"/>
  <c r="AB561" i="2" s="1"/>
  <c r="AA561" i="2" s="1"/>
  <c r="X561" i="2"/>
  <c r="W561" i="2"/>
  <c r="V561" i="2"/>
  <c r="AF560" i="2"/>
  <c r="AD560" i="2"/>
  <c r="AC560" i="2"/>
  <c r="Z560" i="2"/>
  <c r="Y560" i="2"/>
  <c r="AB560" i="2" s="1"/>
  <c r="AA560" i="2" s="1"/>
  <c r="X560" i="2"/>
  <c r="W560" i="2"/>
  <c r="V560" i="2"/>
  <c r="AF559" i="2"/>
  <c r="AD559" i="2"/>
  <c r="AC559" i="2"/>
  <c r="Z559" i="2"/>
  <c r="Y559" i="2"/>
  <c r="AB559" i="2" s="1"/>
  <c r="AA559" i="2" s="1"/>
  <c r="X559" i="2"/>
  <c r="W559" i="2"/>
  <c r="V559" i="2"/>
  <c r="AF558" i="2"/>
  <c r="AD558" i="2"/>
  <c r="AC558" i="2"/>
  <c r="Z558" i="2"/>
  <c r="Y558" i="2"/>
  <c r="AB558" i="2" s="1"/>
  <c r="AA558" i="2" s="1"/>
  <c r="X558" i="2"/>
  <c r="W558" i="2"/>
  <c r="V558" i="2"/>
  <c r="AF557" i="2"/>
  <c r="AD557" i="2"/>
  <c r="AC557" i="2"/>
  <c r="Z557" i="2"/>
  <c r="Y557" i="2"/>
  <c r="AB557" i="2" s="1"/>
  <c r="AA557" i="2" s="1"/>
  <c r="X557" i="2"/>
  <c r="W557" i="2"/>
  <c r="V557" i="2"/>
  <c r="AF556" i="2"/>
  <c r="AD556" i="2"/>
  <c r="AC556" i="2"/>
  <c r="Z556" i="2"/>
  <c r="Y556" i="2"/>
  <c r="AB556" i="2" s="1"/>
  <c r="AA556" i="2" s="1"/>
  <c r="X556" i="2"/>
  <c r="W556" i="2"/>
  <c r="V556" i="2"/>
  <c r="AF555" i="2"/>
  <c r="AD555" i="2"/>
  <c r="AC555" i="2"/>
  <c r="Z555" i="2"/>
  <c r="Y555" i="2"/>
  <c r="AB555" i="2" s="1"/>
  <c r="AA555" i="2" s="1"/>
  <c r="X555" i="2"/>
  <c r="W555" i="2"/>
  <c r="V555" i="2"/>
  <c r="AF554" i="2"/>
  <c r="AD554" i="2"/>
  <c r="AC554" i="2"/>
  <c r="Z554" i="2"/>
  <c r="Y554" i="2"/>
  <c r="AB554" i="2" s="1"/>
  <c r="AA554" i="2" s="1"/>
  <c r="X554" i="2"/>
  <c r="W554" i="2"/>
  <c r="V554" i="2"/>
  <c r="AF553" i="2"/>
  <c r="AD553" i="2"/>
  <c r="AC553" i="2"/>
  <c r="Z553" i="2"/>
  <c r="Y553" i="2"/>
  <c r="AB553" i="2" s="1"/>
  <c r="AA553" i="2" s="1"/>
  <c r="X553" i="2"/>
  <c r="W553" i="2"/>
  <c r="V553" i="2"/>
  <c r="AF552" i="2"/>
  <c r="AD552" i="2"/>
  <c r="AC552" i="2"/>
  <c r="Z552" i="2"/>
  <c r="Y552" i="2"/>
  <c r="AB552" i="2" s="1"/>
  <c r="AA552" i="2" s="1"/>
  <c r="X552" i="2"/>
  <c r="W552" i="2"/>
  <c r="V552" i="2"/>
  <c r="AF551" i="2"/>
  <c r="AD551" i="2"/>
  <c r="AC551" i="2"/>
  <c r="Z551" i="2"/>
  <c r="Y551" i="2"/>
  <c r="AB551" i="2" s="1"/>
  <c r="AA551" i="2" s="1"/>
  <c r="X551" i="2"/>
  <c r="W551" i="2"/>
  <c r="V551" i="2"/>
  <c r="AF550" i="2"/>
  <c r="AD550" i="2"/>
  <c r="AC550" i="2"/>
  <c r="Z550" i="2"/>
  <c r="Y550" i="2"/>
  <c r="AB550" i="2" s="1"/>
  <c r="AA550" i="2" s="1"/>
  <c r="X550" i="2"/>
  <c r="W550" i="2"/>
  <c r="V550" i="2"/>
  <c r="AF549" i="2"/>
  <c r="AD549" i="2"/>
  <c r="AC549" i="2"/>
  <c r="Z549" i="2"/>
  <c r="Y549" i="2"/>
  <c r="AB549" i="2" s="1"/>
  <c r="AA549" i="2" s="1"/>
  <c r="X549" i="2"/>
  <c r="W549" i="2"/>
  <c r="V549" i="2"/>
  <c r="AF548" i="2"/>
  <c r="AD548" i="2"/>
  <c r="AC548" i="2"/>
  <c r="Z548" i="2"/>
  <c r="Y548" i="2"/>
  <c r="AB548" i="2" s="1"/>
  <c r="AA548" i="2" s="1"/>
  <c r="X548" i="2"/>
  <c r="W548" i="2"/>
  <c r="V548" i="2"/>
  <c r="AF547" i="2"/>
  <c r="AD547" i="2"/>
  <c r="AC547" i="2"/>
  <c r="Z547" i="2"/>
  <c r="Y547" i="2"/>
  <c r="AB547" i="2" s="1"/>
  <c r="AA547" i="2" s="1"/>
  <c r="X547" i="2"/>
  <c r="W547" i="2"/>
  <c r="V547" i="2"/>
  <c r="AF546" i="2"/>
  <c r="AD546" i="2"/>
  <c r="AC546" i="2"/>
  <c r="Z546" i="2"/>
  <c r="Y546" i="2"/>
  <c r="AB546" i="2" s="1"/>
  <c r="AA546" i="2" s="1"/>
  <c r="X546" i="2"/>
  <c r="W546" i="2"/>
  <c r="V546" i="2"/>
  <c r="AF545" i="2"/>
  <c r="AD545" i="2"/>
  <c r="AC545" i="2"/>
  <c r="Z545" i="2"/>
  <c r="Y545" i="2"/>
  <c r="AB545" i="2" s="1"/>
  <c r="AA545" i="2" s="1"/>
  <c r="X545" i="2"/>
  <c r="W545" i="2"/>
  <c r="V545" i="2"/>
  <c r="AF544" i="2"/>
  <c r="AD544" i="2"/>
  <c r="AC544" i="2"/>
  <c r="Z544" i="2"/>
  <c r="Y544" i="2"/>
  <c r="AB544" i="2" s="1"/>
  <c r="AA544" i="2" s="1"/>
  <c r="X544" i="2"/>
  <c r="W544" i="2"/>
  <c r="V544" i="2"/>
  <c r="AF543" i="2"/>
  <c r="AD543" i="2"/>
  <c r="AC543" i="2"/>
  <c r="Z543" i="2"/>
  <c r="Y543" i="2"/>
  <c r="AB543" i="2" s="1"/>
  <c r="AA543" i="2" s="1"/>
  <c r="X543" i="2"/>
  <c r="W543" i="2"/>
  <c r="V543" i="2"/>
  <c r="AF542" i="2"/>
  <c r="AD542" i="2"/>
  <c r="AC542" i="2"/>
  <c r="Z542" i="2"/>
  <c r="Y542" i="2"/>
  <c r="AB542" i="2" s="1"/>
  <c r="AA542" i="2" s="1"/>
  <c r="X542" i="2"/>
  <c r="W542" i="2"/>
  <c r="V542" i="2"/>
  <c r="AF541" i="2"/>
  <c r="AD541" i="2"/>
  <c r="AC541" i="2"/>
  <c r="Z541" i="2"/>
  <c r="Y541" i="2"/>
  <c r="AB541" i="2" s="1"/>
  <c r="AA541" i="2" s="1"/>
  <c r="X541" i="2"/>
  <c r="W541" i="2"/>
  <c r="V541" i="2"/>
  <c r="AF540" i="2"/>
  <c r="AD540" i="2"/>
  <c r="AC540" i="2"/>
  <c r="Z540" i="2"/>
  <c r="Y540" i="2"/>
  <c r="AB540" i="2" s="1"/>
  <c r="AA540" i="2" s="1"/>
  <c r="X540" i="2"/>
  <c r="W540" i="2"/>
  <c r="V540" i="2"/>
  <c r="AF539" i="2"/>
  <c r="AD539" i="2"/>
  <c r="AC539" i="2"/>
  <c r="Z539" i="2"/>
  <c r="Y539" i="2"/>
  <c r="AB539" i="2" s="1"/>
  <c r="AA539" i="2" s="1"/>
  <c r="X539" i="2"/>
  <c r="W539" i="2"/>
  <c r="V539" i="2"/>
  <c r="AF538" i="2"/>
  <c r="AD538" i="2"/>
  <c r="AC538" i="2"/>
  <c r="Z538" i="2"/>
  <c r="Y538" i="2"/>
  <c r="AB538" i="2" s="1"/>
  <c r="AA538" i="2" s="1"/>
  <c r="X538" i="2"/>
  <c r="W538" i="2"/>
  <c r="V538" i="2"/>
  <c r="AF537" i="2"/>
  <c r="AD537" i="2"/>
  <c r="AC537" i="2"/>
  <c r="Z537" i="2"/>
  <c r="Y537" i="2"/>
  <c r="AB537" i="2" s="1"/>
  <c r="AA537" i="2" s="1"/>
  <c r="X537" i="2"/>
  <c r="W537" i="2"/>
  <c r="V537" i="2"/>
  <c r="AF536" i="2"/>
  <c r="AD536" i="2"/>
  <c r="AC536" i="2"/>
  <c r="Z536" i="2"/>
  <c r="Y536" i="2"/>
  <c r="AB536" i="2" s="1"/>
  <c r="AA536" i="2" s="1"/>
  <c r="X536" i="2"/>
  <c r="W536" i="2"/>
  <c r="V536" i="2"/>
  <c r="AF535" i="2"/>
  <c r="AD535" i="2"/>
  <c r="AC535" i="2"/>
  <c r="Z535" i="2"/>
  <c r="Y535" i="2"/>
  <c r="AB535" i="2" s="1"/>
  <c r="AA535" i="2" s="1"/>
  <c r="X535" i="2"/>
  <c r="W535" i="2"/>
  <c r="V535" i="2"/>
  <c r="AF534" i="2"/>
  <c r="AD534" i="2"/>
  <c r="AC534" i="2"/>
  <c r="Z534" i="2"/>
  <c r="Y534" i="2"/>
  <c r="AB534" i="2" s="1"/>
  <c r="AA534" i="2" s="1"/>
  <c r="X534" i="2"/>
  <c r="W534" i="2"/>
  <c r="V534" i="2"/>
  <c r="AF533" i="2"/>
  <c r="AD533" i="2"/>
  <c r="AC533" i="2"/>
  <c r="Z533" i="2"/>
  <c r="Y533" i="2"/>
  <c r="AB533" i="2" s="1"/>
  <c r="AA533" i="2" s="1"/>
  <c r="X533" i="2"/>
  <c r="W533" i="2"/>
  <c r="V533" i="2"/>
  <c r="AF532" i="2"/>
  <c r="AD532" i="2"/>
  <c r="AC532" i="2"/>
  <c r="Z532" i="2"/>
  <c r="Y532" i="2"/>
  <c r="AB532" i="2" s="1"/>
  <c r="AA532" i="2" s="1"/>
  <c r="X532" i="2"/>
  <c r="W532" i="2"/>
  <c r="V532" i="2"/>
  <c r="AF531" i="2"/>
  <c r="AD531" i="2"/>
  <c r="AC531" i="2"/>
  <c r="Z531" i="2"/>
  <c r="Y531" i="2"/>
  <c r="AB531" i="2" s="1"/>
  <c r="AA531" i="2" s="1"/>
  <c r="X531" i="2"/>
  <c r="W531" i="2"/>
  <c r="V531" i="2"/>
  <c r="AF530" i="2"/>
  <c r="AD530" i="2"/>
  <c r="AC530" i="2"/>
  <c r="Z530" i="2"/>
  <c r="Y530" i="2"/>
  <c r="AB530" i="2" s="1"/>
  <c r="AA530" i="2" s="1"/>
  <c r="X530" i="2"/>
  <c r="W530" i="2"/>
  <c r="V530" i="2"/>
  <c r="AF529" i="2"/>
  <c r="AD529" i="2"/>
  <c r="AC529" i="2"/>
  <c r="Z529" i="2"/>
  <c r="Y529" i="2"/>
  <c r="AB529" i="2" s="1"/>
  <c r="AA529" i="2" s="1"/>
  <c r="X529" i="2"/>
  <c r="W529" i="2"/>
  <c r="V529" i="2"/>
  <c r="AF528" i="2"/>
  <c r="AD528" i="2"/>
  <c r="AC528" i="2"/>
  <c r="Z528" i="2"/>
  <c r="Y528" i="2"/>
  <c r="AB528" i="2" s="1"/>
  <c r="AA528" i="2" s="1"/>
  <c r="X528" i="2"/>
  <c r="W528" i="2"/>
  <c r="V528" i="2"/>
  <c r="AF527" i="2"/>
  <c r="AD527" i="2"/>
  <c r="AC527" i="2"/>
  <c r="Z527" i="2"/>
  <c r="Y527" i="2"/>
  <c r="AB527" i="2" s="1"/>
  <c r="AA527" i="2" s="1"/>
  <c r="X527" i="2"/>
  <c r="W527" i="2"/>
  <c r="V527" i="2"/>
  <c r="AF526" i="2"/>
  <c r="AD526" i="2"/>
  <c r="AC526" i="2"/>
  <c r="Z526" i="2"/>
  <c r="Y526" i="2"/>
  <c r="AB526" i="2" s="1"/>
  <c r="AA526" i="2" s="1"/>
  <c r="X526" i="2"/>
  <c r="W526" i="2"/>
  <c r="V526" i="2"/>
  <c r="AF525" i="2"/>
  <c r="AD525" i="2"/>
  <c r="AC525" i="2"/>
  <c r="Z525" i="2"/>
  <c r="Y525" i="2"/>
  <c r="AB525" i="2" s="1"/>
  <c r="AA525" i="2" s="1"/>
  <c r="X525" i="2"/>
  <c r="W525" i="2"/>
  <c r="V525" i="2"/>
  <c r="AF524" i="2"/>
  <c r="AD524" i="2"/>
  <c r="AC524" i="2"/>
  <c r="Z524" i="2"/>
  <c r="Y524" i="2"/>
  <c r="AB524" i="2" s="1"/>
  <c r="AA524" i="2" s="1"/>
  <c r="X524" i="2"/>
  <c r="W524" i="2"/>
  <c r="V524" i="2"/>
  <c r="AF523" i="2"/>
  <c r="AD523" i="2"/>
  <c r="AC523" i="2"/>
  <c r="Z523" i="2"/>
  <c r="Y523" i="2"/>
  <c r="AB523" i="2" s="1"/>
  <c r="AA523" i="2" s="1"/>
  <c r="X523" i="2"/>
  <c r="W523" i="2"/>
  <c r="V523" i="2"/>
  <c r="AF522" i="2"/>
  <c r="AD522" i="2"/>
  <c r="AC522" i="2"/>
  <c r="Z522" i="2"/>
  <c r="Y522" i="2"/>
  <c r="AB522" i="2" s="1"/>
  <c r="AA522" i="2" s="1"/>
  <c r="X522" i="2"/>
  <c r="W522" i="2"/>
  <c r="V522" i="2"/>
  <c r="AF521" i="2"/>
  <c r="AD521" i="2"/>
  <c r="AC521" i="2"/>
  <c r="Z521" i="2"/>
  <c r="Y521" i="2"/>
  <c r="AB521" i="2" s="1"/>
  <c r="AA521" i="2" s="1"/>
  <c r="X521" i="2"/>
  <c r="W521" i="2"/>
  <c r="V521" i="2"/>
  <c r="AF520" i="2"/>
  <c r="AD520" i="2"/>
  <c r="AC520" i="2"/>
  <c r="Z520" i="2"/>
  <c r="Y520" i="2"/>
  <c r="AB520" i="2" s="1"/>
  <c r="AA520" i="2" s="1"/>
  <c r="X520" i="2"/>
  <c r="W520" i="2"/>
  <c r="V520" i="2"/>
  <c r="AF519" i="2"/>
  <c r="AD519" i="2"/>
  <c r="AC519" i="2"/>
  <c r="Z519" i="2"/>
  <c r="Y519" i="2"/>
  <c r="AB519" i="2" s="1"/>
  <c r="AA519" i="2" s="1"/>
  <c r="X519" i="2"/>
  <c r="W519" i="2"/>
  <c r="V519" i="2"/>
  <c r="AF518" i="2"/>
  <c r="AD518" i="2"/>
  <c r="AC518" i="2"/>
  <c r="Z518" i="2"/>
  <c r="Y518" i="2"/>
  <c r="AB518" i="2" s="1"/>
  <c r="AA518" i="2" s="1"/>
  <c r="X518" i="2"/>
  <c r="W518" i="2"/>
  <c r="V518" i="2"/>
  <c r="AF517" i="2"/>
  <c r="AD517" i="2"/>
  <c r="AC517" i="2"/>
  <c r="Z517" i="2"/>
  <c r="Y517" i="2"/>
  <c r="AB517" i="2" s="1"/>
  <c r="AA517" i="2" s="1"/>
  <c r="X517" i="2"/>
  <c r="W517" i="2"/>
  <c r="V517" i="2"/>
  <c r="AF516" i="2"/>
  <c r="AD516" i="2"/>
  <c r="AC516" i="2"/>
  <c r="Z516" i="2"/>
  <c r="Y516" i="2"/>
  <c r="AB516" i="2" s="1"/>
  <c r="AA516" i="2" s="1"/>
  <c r="X516" i="2"/>
  <c r="W516" i="2"/>
  <c r="V516" i="2"/>
  <c r="AF515" i="2"/>
  <c r="AD515" i="2"/>
  <c r="AC515" i="2"/>
  <c r="Z515" i="2"/>
  <c r="Y515" i="2"/>
  <c r="AB515" i="2" s="1"/>
  <c r="AA515" i="2" s="1"/>
  <c r="X515" i="2"/>
  <c r="W515" i="2"/>
  <c r="V515" i="2"/>
  <c r="AF514" i="2"/>
  <c r="AD514" i="2"/>
  <c r="AC514" i="2"/>
  <c r="Z514" i="2"/>
  <c r="Y514" i="2"/>
  <c r="AB514" i="2" s="1"/>
  <c r="AA514" i="2" s="1"/>
  <c r="X514" i="2"/>
  <c r="W514" i="2"/>
  <c r="V514" i="2"/>
  <c r="AF513" i="2"/>
  <c r="AD513" i="2"/>
  <c r="AC513" i="2"/>
  <c r="Z513" i="2"/>
  <c r="Y513" i="2"/>
  <c r="AB513" i="2" s="1"/>
  <c r="AA513" i="2" s="1"/>
  <c r="X513" i="2"/>
  <c r="W513" i="2"/>
  <c r="V513" i="2"/>
  <c r="AF512" i="2"/>
  <c r="AD512" i="2"/>
  <c r="AC512" i="2"/>
  <c r="Z512" i="2"/>
  <c r="Y512" i="2"/>
  <c r="AB512" i="2" s="1"/>
  <c r="AA512" i="2" s="1"/>
  <c r="X512" i="2"/>
  <c r="W512" i="2"/>
  <c r="V512" i="2"/>
  <c r="AF511" i="2"/>
  <c r="AD511" i="2"/>
  <c r="AC511" i="2"/>
  <c r="Z511" i="2"/>
  <c r="Y511" i="2"/>
  <c r="AB511" i="2" s="1"/>
  <c r="AA511" i="2" s="1"/>
  <c r="X511" i="2"/>
  <c r="W511" i="2"/>
  <c r="V511" i="2"/>
  <c r="AF510" i="2"/>
  <c r="AD510" i="2"/>
  <c r="AC510" i="2"/>
  <c r="Z510" i="2"/>
  <c r="Y510" i="2"/>
  <c r="AB510" i="2" s="1"/>
  <c r="AA510" i="2" s="1"/>
  <c r="X510" i="2"/>
  <c r="W510" i="2"/>
  <c r="V510" i="2"/>
  <c r="AF509" i="2"/>
  <c r="AD509" i="2"/>
  <c r="AC509" i="2"/>
  <c r="Z509" i="2"/>
  <c r="Y509" i="2"/>
  <c r="AB509" i="2" s="1"/>
  <c r="AA509" i="2" s="1"/>
  <c r="X509" i="2"/>
  <c r="W509" i="2"/>
  <c r="V509" i="2"/>
  <c r="AF508" i="2"/>
  <c r="AD508" i="2"/>
  <c r="AC508" i="2"/>
  <c r="Z508" i="2"/>
  <c r="Y508" i="2"/>
  <c r="AB508" i="2" s="1"/>
  <c r="AA508" i="2" s="1"/>
  <c r="X508" i="2"/>
  <c r="W508" i="2"/>
  <c r="V508" i="2"/>
  <c r="AF507" i="2"/>
  <c r="AD507" i="2"/>
  <c r="AC507" i="2"/>
  <c r="Z507" i="2"/>
  <c r="Y507" i="2"/>
  <c r="AB507" i="2" s="1"/>
  <c r="AA507" i="2" s="1"/>
  <c r="X507" i="2"/>
  <c r="W507" i="2"/>
  <c r="V507" i="2"/>
  <c r="AF506" i="2"/>
  <c r="AD506" i="2"/>
  <c r="AC506" i="2"/>
  <c r="Z506" i="2"/>
  <c r="Y506" i="2"/>
  <c r="AB506" i="2" s="1"/>
  <c r="AA506" i="2" s="1"/>
  <c r="X506" i="2"/>
  <c r="W506" i="2"/>
  <c r="V506" i="2"/>
  <c r="AF505" i="2"/>
  <c r="AD505" i="2"/>
  <c r="AC505" i="2"/>
  <c r="Z505" i="2"/>
  <c r="Y505" i="2"/>
  <c r="AB505" i="2" s="1"/>
  <c r="AA505" i="2" s="1"/>
  <c r="X505" i="2"/>
  <c r="W505" i="2"/>
  <c r="V505" i="2"/>
  <c r="AF504" i="2"/>
  <c r="AD504" i="2"/>
  <c r="AC504" i="2"/>
  <c r="Z504" i="2"/>
  <c r="Y504" i="2"/>
  <c r="AB504" i="2" s="1"/>
  <c r="AA504" i="2" s="1"/>
  <c r="X504" i="2"/>
  <c r="W504" i="2"/>
  <c r="V504" i="2"/>
  <c r="AF503" i="2"/>
  <c r="AD503" i="2"/>
  <c r="AC503" i="2"/>
  <c r="Z503" i="2"/>
  <c r="Y503" i="2"/>
  <c r="AB503" i="2" s="1"/>
  <c r="AA503" i="2" s="1"/>
  <c r="X503" i="2"/>
  <c r="W503" i="2"/>
  <c r="V503" i="2"/>
  <c r="AF502" i="2"/>
  <c r="AD502" i="2"/>
  <c r="AC502" i="2"/>
  <c r="Z502" i="2"/>
  <c r="Y502" i="2"/>
  <c r="AB502" i="2" s="1"/>
  <c r="AA502" i="2" s="1"/>
  <c r="X502" i="2"/>
  <c r="W502" i="2"/>
  <c r="V502" i="2"/>
  <c r="AF501" i="2"/>
  <c r="AD501" i="2"/>
  <c r="AC501" i="2"/>
  <c r="Z501" i="2"/>
  <c r="Y501" i="2"/>
  <c r="AB501" i="2" s="1"/>
  <c r="AA501" i="2" s="1"/>
  <c r="X501" i="2"/>
  <c r="W501" i="2"/>
  <c r="V501" i="2"/>
  <c r="AF500" i="2"/>
  <c r="AD500" i="2"/>
  <c r="AC500" i="2"/>
  <c r="Z500" i="2"/>
  <c r="Y500" i="2"/>
  <c r="AB500" i="2" s="1"/>
  <c r="AA500" i="2" s="1"/>
  <c r="X500" i="2"/>
  <c r="W500" i="2"/>
  <c r="V500" i="2"/>
  <c r="AF499" i="2"/>
  <c r="AD499" i="2"/>
  <c r="AC499" i="2"/>
  <c r="Z499" i="2"/>
  <c r="Y499" i="2"/>
  <c r="AB499" i="2" s="1"/>
  <c r="AA499" i="2" s="1"/>
  <c r="X499" i="2"/>
  <c r="W499" i="2"/>
  <c r="V499" i="2"/>
  <c r="AF498" i="2"/>
  <c r="AD498" i="2"/>
  <c r="AC498" i="2"/>
  <c r="Z498" i="2"/>
  <c r="Y498" i="2"/>
  <c r="AB498" i="2" s="1"/>
  <c r="AA498" i="2" s="1"/>
  <c r="X498" i="2"/>
  <c r="W498" i="2"/>
  <c r="V498" i="2"/>
  <c r="AF497" i="2"/>
  <c r="AD497" i="2"/>
  <c r="AC497" i="2"/>
  <c r="Z497" i="2"/>
  <c r="Y497" i="2"/>
  <c r="AB497" i="2" s="1"/>
  <c r="AA497" i="2" s="1"/>
  <c r="X497" i="2"/>
  <c r="W497" i="2"/>
  <c r="V497" i="2"/>
  <c r="AF496" i="2"/>
  <c r="AD496" i="2"/>
  <c r="AC496" i="2"/>
  <c r="Z496" i="2"/>
  <c r="Y496" i="2"/>
  <c r="AB496" i="2" s="1"/>
  <c r="AA496" i="2" s="1"/>
  <c r="X496" i="2"/>
  <c r="W496" i="2"/>
  <c r="V496" i="2"/>
  <c r="AF495" i="2"/>
  <c r="AD495" i="2"/>
  <c r="AC495" i="2"/>
  <c r="Z495" i="2"/>
  <c r="Y495" i="2"/>
  <c r="AB495" i="2" s="1"/>
  <c r="AA495" i="2" s="1"/>
  <c r="X495" i="2"/>
  <c r="W495" i="2"/>
  <c r="V495" i="2"/>
  <c r="AF494" i="2"/>
  <c r="AD494" i="2"/>
  <c r="AC494" i="2"/>
  <c r="Z494" i="2"/>
  <c r="Y494" i="2"/>
  <c r="AB494" i="2" s="1"/>
  <c r="AA494" i="2" s="1"/>
  <c r="X494" i="2"/>
  <c r="W494" i="2"/>
  <c r="V494" i="2"/>
  <c r="AF493" i="2"/>
  <c r="AD493" i="2"/>
  <c r="AC493" i="2"/>
  <c r="Z493" i="2"/>
  <c r="Y493" i="2"/>
  <c r="AB493" i="2" s="1"/>
  <c r="AA493" i="2" s="1"/>
  <c r="X493" i="2"/>
  <c r="W493" i="2"/>
  <c r="V493" i="2"/>
  <c r="AF492" i="2"/>
  <c r="AD492" i="2"/>
  <c r="AC492" i="2"/>
  <c r="Z492" i="2"/>
  <c r="Y492" i="2"/>
  <c r="AB492" i="2" s="1"/>
  <c r="AA492" i="2" s="1"/>
  <c r="X492" i="2"/>
  <c r="W492" i="2"/>
  <c r="V492" i="2"/>
  <c r="AF491" i="2"/>
  <c r="AD491" i="2"/>
  <c r="AC491" i="2"/>
  <c r="Z491" i="2"/>
  <c r="Y491" i="2"/>
  <c r="AB491" i="2" s="1"/>
  <c r="AA491" i="2" s="1"/>
  <c r="X491" i="2"/>
  <c r="W491" i="2"/>
  <c r="V491" i="2"/>
  <c r="AF490" i="2"/>
  <c r="AD490" i="2"/>
  <c r="AC490" i="2"/>
  <c r="Z490" i="2"/>
  <c r="Y490" i="2"/>
  <c r="AB490" i="2" s="1"/>
  <c r="AA490" i="2" s="1"/>
  <c r="X490" i="2"/>
  <c r="W490" i="2"/>
  <c r="V490" i="2"/>
  <c r="AF489" i="2"/>
  <c r="AD489" i="2"/>
  <c r="AC489" i="2"/>
  <c r="Z489" i="2"/>
  <c r="Y489" i="2"/>
  <c r="AB489" i="2" s="1"/>
  <c r="AA489" i="2" s="1"/>
  <c r="X489" i="2"/>
  <c r="W489" i="2"/>
  <c r="V489" i="2"/>
  <c r="AF488" i="2"/>
  <c r="AD488" i="2"/>
  <c r="AC488" i="2"/>
  <c r="Z488" i="2"/>
  <c r="Y488" i="2"/>
  <c r="AB488" i="2" s="1"/>
  <c r="AA488" i="2" s="1"/>
  <c r="X488" i="2"/>
  <c r="W488" i="2"/>
  <c r="V488" i="2"/>
  <c r="AF487" i="2"/>
  <c r="AD487" i="2"/>
  <c r="AC487" i="2"/>
  <c r="Z487" i="2"/>
  <c r="Y487" i="2"/>
  <c r="AB487" i="2" s="1"/>
  <c r="AA487" i="2" s="1"/>
  <c r="X487" i="2"/>
  <c r="W487" i="2"/>
  <c r="V487" i="2"/>
  <c r="AF486" i="2"/>
  <c r="AD486" i="2"/>
  <c r="AC486" i="2"/>
  <c r="Z486" i="2"/>
  <c r="Y486" i="2"/>
  <c r="AB486" i="2" s="1"/>
  <c r="AA486" i="2" s="1"/>
  <c r="X486" i="2"/>
  <c r="W486" i="2"/>
  <c r="V486" i="2"/>
  <c r="AF485" i="2"/>
  <c r="AD485" i="2"/>
  <c r="AC485" i="2"/>
  <c r="Z485" i="2"/>
  <c r="Y485" i="2"/>
  <c r="AB485" i="2" s="1"/>
  <c r="AA485" i="2" s="1"/>
  <c r="X485" i="2"/>
  <c r="W485" i="2"/>
  <c r="V485" i="2"/>
  <c r="AF484" i="2"/>
  <c r="AD484" i="2"/>
  <c r="AC484" i="2"/>
  <c r="Z484" i="2"/>
  <c r="Y484" i="2"/>
  <c r="AB484" i="2" s="1"/>
  <c r="AA484" i="2" s="1"/>
  <c r="X484" i="2"/>
  <c r="W484" i="2"/>
  <c r="V484" i="2"/>
  <c r="AF483" i="2"/>
  <c r="AD483" i="2"/>
  <c r="AC483" i="2"/>
  <c r="Z483" i="2"/>
  <c r="Y483" i="2"/>
  <c r="AB483" i="2" s="1"/>
  <c r="AA483" i="2" s="1"/>
  <c r="X483" i="2"/>
  <c r="W483" i="2"/>
  <c r="V483" i="2"/>
  <c r="AF482" i="2"/>
  <c r="AD482" i="2"/>
  <c r="AC482" i="2"/>
  <c r="Z482" i="2"/>
  <c r="Y482" i="2"/>
  <c r="AB482" i="2" s="1"/>
  <c r="AA482" i="2" s="1"/>
  <c r="X482" i="2"/>
  <c r="W482" i="2"/>
  <c r="V482" i="2"/>
  <c r="AF481" i="2"/>
  <c r="AD481" i="2"/>
  <c r="AC481" i="2"/>
  <c r="Z481" i="2"/>
  <c r="Y481" i="2"/>
  <c r="AB481" i="2" s="1"/>
  <c r="AA481" i="2" s="1"/>
  <c r="X481" i="2"/>
  <c r="W481" i="2"/>
  <c r="V481" i="2"/>
  <c r="AF480" i="2"/>
  <c r="AD480" i="2"/>
  <c r="AC480" i="2"/>
  <c r="Z480" i="2"/>
  <c r="Y480" i="2"/>
  <c r="AB480" i="2" s="1"/>
  <c r="AA480" i="2" s="1"/>
  <c r="X480" i="2"/>
  <c r="W480" i="2"/>
  <c r="V480" i="2"/>
  <c r="AF479" i="2"/>
  <c r="AD479" i="2"/>
  <c r="AC479" i="2"/>
  <c r="Z479" i="2"/>
  <c r="Y479" i="2"/>
  <c r="AB479" i="2" s="1"/>
  <c r="AA479" i="2" s="1"/>
  <c r="X479" i="2"/>
  <c r="W479" i="2"/>
  <c r="V479" i="2"/>
  <c r="AF478" i="2"/>
  <c r="AD478" i="2"/>
  <c r="AC478" i="2"/>
  <c r="Z478" i="2"/>
  <c r="Y478" i="2"/>
  <c r="AB478" i="2" s="1"/>
  <c r="AA478" i="2" s="1"/>
  <c r="X478" i="2"/>
  <c r="W478" i="2"/>
  <c r="V478" i="2"/>
  <c r="AF477" i="2"/>
  <c r="AD477" i="2"/>
  <c r="AC477" i="2"/>
  <c r="Z477" i="2"/>
  <c r="Y477" i="2"/>
  <c r="AB477" i="2" s="1"/>
  <c r="AA477" i="2" s="1"/>
  <c r="X477" i="2"/>
  <c r="W477" i="2"/>
  <c r="V477" i="2"/>
  <c r="AF476" i="2"/>
  <c r="AD476" i="2"/>
  <c r="AC476" i="2"/>
  <c r="Z476" i="2"/>
  <c r="Y476" i="2"/>
  <c r="AB476" i="2" s="1"/>
  <c r="AA476" i="2" s="1"/>
  <c r="X476" i="2"/>
  <c r="W476" i="2"/>
  <c r="V476" i="2"/>
  <c r="AF475" i="2"/>
  <c r="AD475" i="2"/>
  <c r="AC475" i="2"/>
  <c r="Z475" i="2"/>
  <c r="Y475" i="2"/>
  <c r="AB475" i="2" s="1"/>
  <c r="AA475" i="2" s="1"/>
  <c r="X475" i="2"/>
  <c r="W475" i="2"/>
  <c r="V475" i="2"/>
  <c r="AF474" i="2"/>
  <c r="AD474" i="2"/>
  <c r="AC474" i="2"/>
  <c r="Z474" i="2"/>
  <c r="Y474" i="2"/>
  <c r="AB474" i="2" s="1"/>
  <c r="AA474" i="2" s="1"/>
  <c r="X474" i="2"/>
  <c r="W474" i="2"/>
  <c r="V474" i="2"/>
  <c r="AF473" i="2"/>
  <c r="AD473" i="2"/>
  <c r="AC473" i="2"/>
  <c r="Z473" i="2"/>
  <c r="Y473" i="2"/>
  <c r="AB473" i="2" s="1"/>
  <c r="AA473" i="2" s="1"/>
  <c r="X473" i="2"/>
  <c r="W473" i="2"/>
  <c r="V473" i="2"/>
  <c r="AF472" i="2"/>
  <c r="AD472" i="2"/>
  <c r="AC472" i="2"/>
  <c r="Z472" i="2"/>
  <c r="Y472" i="2"/>
  <c r="AB472" i="2" s="1"/>
  <c r="AA472" i="2" s="1"/>
  <c r="X472" i="2"/>
  <c r="W472" i="2"/>
  <c r="V472" i="2"/>
  <c r="AF471" i="2"/>
  <c r="AD471" i="2"/>
  <c r="AC471" i="2"/>
  <c r="Z471" i="2"/>
  <c r="Y471" i="2"/>
  <c r="AB471" i="2" s="1"/>
  <c r="AA471" i="2" s="1"/>
  <c r="X471" i="2"/>
  <c r="W471" i="2"/>
  <c r="V471" i="2"/>
  <c r="AF470" i="2"/>
  <c r="AD470" i="2"/>
  <c r="AC470" i="2"/>
  <c r="Z470" i="2"/>
  <c r="Y470" i="2"/>
  <c r="AB470" i="2" s="1"/>
  <c r="AA470" i="2" s="1"/>
  <c r="X470" i="2"/>
  <c r="W470" i="2"/>
  <c r="V470" i="2"/>
  <c r="AF469" i="2"/>
  <c r="AD469" i="2"/>
  <c r="AC469" i="2"/>
  <c r="Z469" i="2"/>
  <c r="Y469" i="2"/>
  <c r="AB469" i="2" s="1"/>
  <c r="AA469" i="2" s="1"/>
  <c r="X469" i="2"/>
  <c r="W469" i="2"/>
  <c r="V469" i="2"/>
  <c r="AF468" i="2"/>
  <c r="AD468" i="2"/>
  <c r="AC468" i="2"/>
  <c r="Z468" i="2"/>
  <c r="Y468" i="2"/>
  <c r="AB468" i="2" s="1"/>
  <c r="AA468" i="2" s="1"/>
  <c r="X468" i="2"/>
  <c r="W468" i="2"/>
  <c r="V468" i="2"/>
  <c r="AF467" i="2"/>
  <c r="AD467" i="2"/>
  <c r="AC467" i="2"/>
  <c r="Z467" i="2"/>
  <c r="Y467" i="2"/>
  <c r="AB467" i="2" s="1"/>
  <c r="AA467" i="2" s="1"/>
  <c r="X467" i="2"/>
  <c r="W467" i="2"/>
  <c r="V467" i="2"/>
  <c r="AF466" i="2"/>
  <c r="AD466" i="2"/>
  <c r="AC466" i="2"/>
  <c r="Z466" i="2"/>
  <c r="Y466" i="2"/>
  <c r="AB466" i="2" s="1"/>
  <c r="AA466" i="2" s="1"/>
  <c r="X466" i="2"/>
  <c r="W466" i="2"/>
  <c r="V466" i="2"/>
  <c r="AF465" i="2"/>
  <c r="AD465" i="2"/>
  <c r="AC465" i="2"/>
  <c r="Z465" i="2"/>
  <c r="Y465" i="2"/>
  <c r="AB465" i="2" s="1"/>
  <c r="AA465" i="2" s="1"/>
  <c r="X465" i="2"/>
  <c r="W465" i="2"/>
  <c r="V465" i="2"/>
  <c r="AF464" i="2"/>
  <c r="AD464" i="2"/>
  <c r="AC464" i="2"/>
  <c r="Z464" i="2"/>
  <c r="Y464" i="2"/>
  <c r="AB464" i="2" s="1"/>
  <c r="AA464" i="2" s="1"/>
  <c r="X464" i="2"/>
  <c r="W464" i="2"/>
  <c r="V464" i="2"/>
  <c r="AF463" i="2"/>
  <c r="AD463" i="2"/>
  <c r="AC463" i="2"/>
  <c r="Z463" i="2"/>
  <c r="Y463" i="2"/>
  <c r="AB463" i="2" s="1"/>
  <c r="AA463" i="2" s="1"/>
  <c r="X463" i="2"/>
  <c r="W463" i="2"/>
  <c r="V463" i="2"/>
  <c r="AF462" i="2"/>
  <c r="AD462" i="2"/>
  <c r="AC462" i="2"/>
  <c r="Z462" i="2"/>
  <c r="Y462" i="2"/>
  <c r="AB462" i="2" s="1"/>
  <c r="AA462" i="2" s="1"/>
  <c r="X462" i="2"/>
  <c r="W462" i="2"/>
  <c r="V462" i="2"/>
  <c r="AF461" i="2"/>
  <c r="AD461" i="2"/>
  <c r="AC461" i="2"/>
  <c r="Z461" i="2"/>
  <c r="Y461" i="2"/>
  <c r="AB461" i="2" s="1"/>
  <c r="AA461" i="2" s="1"/>
  <c r="X461" i="2"/>
  <c r="W461" i="2"/>
  <c r="V461" i="2"/>
  <c r="AF460" i="2"/>
  <c r="AD460" i="2"/>
  <c r="AC460" i="2"/>
  <c r="Z460" i="2"/>
  <c r="Y460" i="2"/>
  <c r="AB460" i="2" s="1"/>
  <c r="AA460" i="2" s="1"/>
  <c r="X460" i="2"/>
  <c r="W460" i="2"/>
  <c r="V460" i="2"/>
  <c r="AF459" i="2"/>
  <c r="AD459" i="2"/>
  <c r="AC459" i="2"/>
  <c r="Z459" i="2"/>
  <c r="Y459" i="2"/>
  <c r="AB459" i="2" s="1"/>
  <c r="AA459" i="2" s="1"/>
  <c r="X459" i="2"/>
  <c r="W459" i="2"/>
  <c r="V459" i="2"/>
  <c r="AF458" i="2"/>
  <c r="AD458" i="2"/>
  <c r="AC458" i="2"/>
  <c r="Z458" i="2"/>
  <c r="Y458" i="2"/>
  <c r="AB458" i="2" s="1"/>
  <c r="AA458" i="2" s="1"/>
  <c r="X458" i="2"/>
  <c r="W458" i="2"/>
  <c r="V458" i="2"/>
  <c r="AF457" i="2"/>
  <c r="AD457" i="2"/>
  <c r="AC457" i="2"/>
  <c r="Z457" i="2"/>
  <c r="Y457" i="2"/>
  <c r="AB457" i="2" s="1"/>
  <c r="AA457" i="2" s="1"/>
  <c r="X457" i="2"/>
  <c r="W457" i="2"/>
  <c r="V457" i="2"/>
  <c r="AF456" i="2"/>
  <c r="AD456" i="2"/>
  <c r="AC456" i="2"/>
  <c r="Z456" i="2"/>
  <c r="Y456" i="2"/>
  <c r="AB456" i="2" s="1"/>
  <c r="AA456" i="2" s="1"/>
  <c r="X456" i="2"/>
  <c r="W456" i="2"/>
  <c r="V456" i="2"/>
  <c r="AF455" i="2"/>
  <c r="AD455" i="2"/>
  <c r="AC455" i="2"/>
  <c r="Z455" i="2"/>
  <c r="Y455" i="2"/>
  <c r="AB455" i="2" s="1"/>
  <c r="AA455" i="2" s="1"/>
  <c r="X455" i="2"/>
  <c r="W455" i="2"/>
  <c r="V455" i="2"/>
  <c r="AF454" i="2"/>
  <c r="AD454" i="2"/>
  <c r="AC454" i="2"/>
  <c r="Z454" i="2"/>
  <c r="Y454" i="2"/>
  <c r="AB454" i="2" s="1"/>
  <c r="AA454" i="2" s="1"/>
  <c r="X454" i="2"/>
  <c r="W454" i="2"/>
  <c r="V454" i="2"/>
  <c r="AF453" i="2"/>
  <c r="AD453" i="2"/>
  <c r="AC453" i="2"/>
  <c r="Z453" i="2"/>
  <c r="Y453" i="2"/>
  <c r="AB453" i="2" s="1"/>
  <c r="AA453" i="2" s="1"/>
  <c r="X453" i="2"/>
  <c r="W453" i="2"/>
  <c r="V453" i="2"/>
  <c r="AF452" i="2"/>
  <c r="AD452" i="2"/>
  <c r="AC452" i="2"/>
  <c r="Z452" i="2"/>
  <c r="Y452" i="2"/>
  <c r="AB452" i="2" s="1"/>
  <c r="AA452" i="2" s="1"/>
  <c r="X452" i="2"/>
  <c r="W452" i="2"/>
  <c r="V452" i="2"/>
  <c r="AF451" i="2"/>
  <c r="AD451" i="2"/>
  <c r="AC451" i="2"/>
  <c r="Z451" i="2"/>
  <c r="Y451" i="2"/>
  <c r="AB451" i="2" s="1"/>
  <c r="AA451" i="2" s="1"/>
  <c r="X451" i="2"/>
  <c r="W451" i="2"/>
  <c r="V451" i="2"/>
  <c r="AF450" i="2"/>
  <c r="AD450" i="2"/>
  <c r="AC450" i="2"/>
  <c r="Z450" i="2"/>
  <c r="Y450" i="2"/>
  <c r="AB450" i="2" s="1"/>
  <c r="AA450" i="2" s="1"/>
  <c r="X450" i="2"/>
  <c r="W450" i="2"/>
  <c r="V450" i="2"/>
  <c r="AF449" i="2"/>
  <c r="AD449" i="2"/>
  <c r="AC449" i="2"/>
  <c r="Z449" i="2"/>
  <c r="Y449" i="2"/>
  <c r="AB449" i="2" s="1"/>
  <c r="AA449" i="2" s="1"/>
  <c r="X449" i="2"/>
  <c r="W449" i="2"/>
  <c r="V449" i="2"/>
  <c r="AF448" i="2"/>
  <c r="AD448" i="2"/>
  <c r="AC448" i="2"/>
  <c r="Z448" i="2"/>
  <c r="Y448" i="2"/>
  <c r="AB448" i="2" s="1"/>
  <c r="AA448" i="2" s="1"/>
  <c r="X448" i="2"/>
  <c r="W448" i="2"/>
  <c r="V448" i="2"/>
  <c r="AF447" i="2"/>
  <c r="AD447" i="2"/>
  <c r="AC447" i="2"/>
  <c r="Z447" i="2"/>
  <c r="Y447" i="2"/>
  <c r="AB447" i="2" s="1"/>
  <c r="AA447" i="2" s="1"/>
  <c r="X447" i="2"/>
  <c r="W447" i="2"/>
  <c r="V447" i="2"/>
  <c r="AF446" i="2"/>
  <c r="AD446" i="2"/>
  <c r="AC446" i="2"/>
  <c r="Z446" i="2"/>
  <c r="Y446" i="2"/>
  <c r="AB446" i="2" s="1"/>
  <c r="AA446" i="2" s="1"/>
  <c r="X446" i="2"/>
  <c r="W446" i="2"/>
  <c r="V446" i="2"/>
  <c r="AF445" i="2"/>
  <c r="AD445" i="2"/>
  <c r="AC445" i="2"/>
  <c r="Z445" i="2"/>
  <c r="Y445" i="2"/>
  <c r="AB445" i="2" s="1"/>
  <c r="AA445" i="2" s="1"/>
  <c r="X445" i="2"/>
  <c r="W445" i="2"/>
  <c r="V445" i="2"/>
  <c r="AF444" i="2"/>
  <c r="AD444" i="2"/>
  <c r="AC444" i="2"/>
  <c r="Z444" i="2"/>
  <c r="Y444" i="2"/>
  <c r="AB444" i="2" s="1"/>
  <c r="AA444" i="2" s="1"/>
  <c r="X444" i="2"/>
  <c r="W444" i="2"/>
  <c r="V444" i="2"/>
  <c r="AF443" i="2"/>
  <c r="AD443" i="2"/>
  <c r="AC443" i="2"/>
  <c r="Z443" i="2"/>
  <c r="Y443" i="2"/>
  <c r="AB443" i="2" s="1"/>
  <c r="AA443" i="2" s="1"/>
  <c r="X443" i="2"/>
  <c r="W443" i="2"/>
  <c r="V443" i="2"/>
  <c r="AF442" i="2"/>
  <c r="AD442" i="2"/>
  <c r="AC442" i="2"/>
  <c r="Z442" i="2"/>
  <c r="Y442" i="2"/>
  <c r="AB442" i="2" s="1"/>
  <c r="AA442" i="2" s="1"/>
  <c r="X442" i="2"/>
  <c r="W442" i="2"/>
  <c r="V442" i="2"/>
  <c r="AF441" i="2"/>
  <c r="AD441" i="2"/>
  <c r="AC441" i="2"/>
  <c r="Z441" i="2"/>
  <c r="Y441" i="2"/>
  <c r="AB441" i="2" s="1"/>
  <c r="AA441" i="2" s="1"/>
  <c r="X441" i="2"/>
  <c r="W441" i="2"/>
  <c r="V441" i="2"/>
  <c r="AF440" i="2"/>
  <c r="AD440" i="2"/>
  <c r="AC440" i="2"/>
  <c r="Z440" i="2"/>
  <c r="Y440" i="2"/>
  <c r="AB440" i="2" s="1"/>
  <c r="AA440" i="2" s="1"/>
  <c r="X440" i="2"/>
  <c r="W440" i="2"/>
  <c r="V440" i="2"/>
  <c r="AF439" i="2"/>
  <c r="AD439" i="2"/>
  <c r="AC439" i="2"/>
  <c r="Z439" i="2"/>
  <c r="Y439" i="2"/>
  <c r="AB439" i="2" s="1"/>
  <c r="AA439" i="2" s="1"/>
  <c r="X439" i="2"/>
  <c r="W439" i="2"/>
  <c r="V439" i="2"/>
  <c r="AF438" i="2"/>
  <c r="AD438" i="2"/>
  <c r="AC438" i="2"/>
  <c r="Z438" i="2"/>
  <c r="Y438" i="2"/>
  <c r="AB438" i="2" s="1"/>
  <c r="AA438" i="2" s="1"/>
  <c r="X438" i="2"/>
  <c r="W438" i="2"/>
  <c r="V438" i="2"/>
  <c r="AF437" i="2"/>
  <c r="AD437" i="2"/>
  <c r="AC437" i="2"/>
  <c r="Z437" i="2"/>
  <c r="Y437" i="2"/>
  <c r="AB437" i="2" s="1"/>
  <c r="AA437" i="2" s="1"/>
  <c r="X437" i="2"/>
  <c r="W437" i="2"/>
  <c r="V437" i="2"/>
  <c r="AF436" i="2"/>
  <c r="AD436" i="2"/>
  <c r="AC436" i="2"/>
  <c r="Z436" i="2"/>
  <c r="Y436" i="2"/>
  <c r="AB436" i="2" s="1"/>
  <c r="AA436" i="2" s="1"/>
  <c r="X436" i="2"/>
  <c r="W436" i="2"/>
  <c r="V436" i="2"/>
  <c r="AF435" i="2"/>
  <c r="AD435" i="2"/>
  <c r="AC435" i="2"/>
  <c r="Z435" i="2"/>
  <c r="Y435" i="2"/>
  <c r="AB435" i="2" s="1"/>
  <c r="AA435" i="2" s="1"/>
  <c r="X435" i="2"/>
  <c r="W435" i="2"/>
  <c r="V435" i="2"/>
  <c r="AF434" i="2"/>
  <c r="AD434" i="2"/>
  <c r="AC434" i="2"/>
  <c r="Z434" i="2"/>
  <c r="Y434" i="2"/>
  <c r="AB434" i="2" s="1"/>
  <c r="AA434" i="2" s="1"/>
  <c r="X434" i="2"/>
  <c r="W434" i="2"/>
  <c r="V434" i="2"/>
  <c r="AF433" i="2"/>
  <c r="AD433" i="2"/>
  <c r="AC433" i="2"/>
  <c r="Z433" i="2"/>
  <c r="Y433" i="2"/>
  <c r="AB433" i="2" s="1"/>
  <c r="AA433" i="2" s="1"/>
  <c r="X433" i="2"/>
  <c r="W433" i="2"/>
  <c r="V433" i="2"/>
  <c r="AF432" i="2"/>
  <c r="AD432" i="2"/>
  <c r="AC432" i="2"/>
  <c r="Z432" i="2"/>
  <c r="Y432" i="2"/>
  <c r="AB432" i="2" s="1"/>
  <c r="AA432" i="2" s="1"/>
  <c r="X432" i="2"/>
  <c r="W432" i="2"/>
  <c r="V432" i="2"/>
  <c r="AF431" i="2"/>
  <c r="AD431" i="2"/>
  <c r="AC431" i="2"/>
  <c r="Z431" i="2"/>
  <c r="Y431" i="2"/>
  <c r="AB431" i="2" s="1"/>
  <c r="AA431" i="2" s="1"/>
  <c r="X431" i="2"/>
  <c r="W431" i="2"/>
  <c r="V431" i="2"/>
  <c r="AF430" i="2"/>
  <c r="AD430" i="2"/>
  <c r="AC430" i="2"/>
  <c r="Z430" i="2"/>
  <c r="Y430" i="2"/>
  <c r="AB430" i="2" s="1"/>
  <c r="AA430" i="2" s="1"/>
  <c r="X430" i="2"/>
  <c r="W430" i="2"/>
  <c r="V430" i="2"/>
  <c r="AF429" i="2"/>
  <c r="AD429" i="2"/>
  <c r="AC429" i="2"/>
  <c r="Z429" i="2"/>
  <c r="Y429" i="2"/>
  <c r="AB429" i="2" s="1"/>
  <c r="AA429" i="2" s="1"/>
  <c r="X429" i="2"/>
  <c r="W429" i="2"/>
  <c r="V429" i="2"/>
  <c r="AF428" i="2"/>
  <c r="AD428" i="2"/>
  <c r="AC428" i="2"/>
  <c r="Z428" i="2"/>
  <c r="Y428" i="2"/>
  <c r="AB428" i="2" s="1"/>
  <c r="AA428" i="2" s="1"/>
  <c r="X428" i="2"/>
  <c r="W428" i="2"/>
  <c r="V428" i="2"/>
  <c r="AF427" i="2"/>
  <c r="AD427" i="2"/>
  <c r="AC427" i="2"/>
  <c r="Z427" i="2"/>
  <c r="Y427" i="2"/>
  <c r="AB427" i="2" s="1"/>
  <c r="AA427" i="2" s="1"/>
  <c r="X427" i="2"/>
  <c r="W427" i="2"/>
  <c r="V427" i="2"/>
  <c r="AF426" i="2"/>
  <c r="AD426" i="2"/>
  <c r="AC426" i="2"/>
  <c r="Z426" i="2"/>
  <c r="Y426" i="2"/>
  <c r="AB426" i="2" s="1"/>
  <c r="AA426" i="2" s="1"/>
  <c r="X426" i="2"/>
  <c r="W426" i="2"/>
  <c r="V426" i="2"/>
  <c r="AF425" i="2"/>
  <c r="AD425" i="2"/>
  <c r="AC425" i="2"/>
  <c r="Z425" i="2"/>
  <c r="Y425" i="2"/>
  <c r="AB425" i="2" s="1"/>
  <c r="AA425" i="2" s="1"/>
  <c r="X425" i="2"/>
  <c r="W425" i="2"/>
  <c r="V425" i="2"/>
  <c r="AF424" i="2"/>
  <c r="AD424" i="2"/>
  <c r="AC424" i="2"/>
  <c r="Z424" i="2"/>
  <c r="Y424" i="2"/>
  <c r="AB424" i="2" s="1"/>
  <c r="AA424" i="2" s="1"/>
  <c r="X424" i="2"/>
  <c r="W424" i="2"/>
  <c r="V424" i="2"/>
  <c r="AF423" i="2"/>
  <c r="AD423" i="2"/>
  <c r="AC423" i="2"/>
  <c r="Z423" i="2"/>
  <c r="Y423" i="2"/>
  <c r="AB423" i="2" s="1"/>
  <c r="AA423" i="2" s="1"/>
  <c r="X423" i="2"/>
  <c r="W423" i="2"/>
  <c r="V423" i="2"/>
  <c r="AF422" i="2"/>
  <c r="AD422" i="2"/>
  <c r="AC422" i="2"/>
  <c r="Z422" i="2"/>
  <c r="Y422" i="2"/>
  <c r="AB422" i="2" s="1"/>
  <c r="AA422" i="2" s="1"/>
  <c r="X422" i="2"/>
  <c r="W422" i="2"/>
  <c r="V422" i="2"/>
  <c r="AF421" i="2"/>
  <c r="AD421" i="2"/>
  <c r="AC421" i="2"/>
  <c r="Z421" i="2"/>
  <c r="Y421" i="2"/>
  <c r="AB421" i="2" s="1"/>
  <c r="AA421" i="2" s="1"/>
  <c r="X421" i="2"/>
  <c r="W421" i="2"/>
  <c r="V421" i="2"/>
  <c r="AF420" i="2"/>
  <c r="AD420" i="2"/>
  <c r="AC420" i="2"/>
  <c r="Z420" i="2"/>
  <c r="Y420" i="2"/>
  <c r="AB420" i="2" s="1"/>
  <c r="AA420" i="2" s="1"/>
  <c r="X420" i="2"/>
  <c r="W420" i="2"/>
  <c r="V420" i="2"/>
  <c r="AF419" i="2"/>
  <c r="AD419" i="2"/>
  <c r="AC419" i="2"/>
  <c r="Z419" i="2"/>
  <c r="Y419" i="2"/>
  <c r="AB419" i="2" s="1"/>
  <c r="AA419" i="2" s="1"/>
  <c r="X419" i="2"/>
  <c r="W419" i="2"/>
  <c r="V419" i="2"/>
  <c r="AF418" i="2"/>
  <c r="AD418" i="2"/>
  <c r="AC418" i="2"/>
  <c r="Z418" i="2"/>
  <c r="Y418" i="2"/>
  <c r="AB418" i="2" s="1"/>
  <c r="AA418" i="2" s="1"/>
  <c r="X418" i="2"/>
  <c r="W418" i="2"/>
  <c r="V418" i="2"/>
  <c r="AF417" i="2"/>
  <c r="AD417" i="2"/>
  <c r="AC417" i="2"/>
  <c r="Z417" i="2"/>
  <c r="Y417" i="2"/>
  <c r="AB417" i="2" s="1"/>
  <c r="AA417" i="2" s="1"/>
  <c r="X417" i="2"/>
  <c r="W417" i="2"/>
  <c r="V417" i="2"/>
  <c r="AF416" i="2"/>
  <c r="AD416" i="2"/>
  <c r="AC416" i="2"/>
  <c r="Z416" i="2"/>
  <c r="Y416" i="2"/>
  <c r="AB416" i="2" s="1"/>
  <c r="AA416" i="2" s="1"/>
  <c r="X416" i="2"/>
  <c r="W416" i="2"/>
  <c r="V416" i="2"/>
  <c r="AF415" i="2"/>
  <c r="AD415" i="2"/>
  <c r="AC415" i="2"/>
  <c r="Z415" i="2"/>
  <c r="Y415" i="2"/>
  <c r="AB415" i="2" s="1"/>
  <c r="AA415" i="2" s="1"/>
  <c r="X415" i="2"/>
  <c r="W415" i="2"/>
  <c r="V415" i="2"/>
  <c r="AF414" i="2"/>
  <c r="AD414" i="2"/>
  <c r="AC414" i="2"/>
  <c r="Z414" i="2"/>
  <c r="Y414" i="2"/>
  <c r="AB414" i="2" s="1"/>
  <c r="AA414" i="2" s="1"/>
  <c r="X414" i="2"/>
  <c r="W414" i="2"/>
  <c r="V414" i="2"/>
  <c r="AF413" i="2"/>
  <c r="AD413" i="2"/>
  <c r="AC413" i="2"/>
  <c r="Z413" i="2"/>
  <c r="Y413" i="2"/>
  <c r="AB413" i="2" s="1"/>
  <c r="AA413" i="2" s="1"/>
  <c r="X413" i="2"/>
  <c r="W413" i="2"/>
  <c r="V413" i="2"/>
  <c r="AF412" i="2"/>
  <c r="AD412" i="2"/>
  <c r="AC412" i="2"/>
  <c r="Z412" i="2"/>
  <c r="Y412" i="2"/>
  <c r="AB412" i="2" s="1"/>
  <c r="AA412" i="2" s="1"/>
  <c r="X412" i="2"/>
  <c r="W412" i="2"/>
  <c r="V412" i="2"/>
  <c r="AF411" i="2"/>
  <c r="AD411" i="2"/>
  <c r="AC411" i="2"/>
  <c r="Z411" i="2"/>
  <c r="Y411" i="2"/>
  <c r="AB411" i="2" s="1"/>
  <c r="AA411" i="2" s="1"/>
  <c r="X411" i="2"/>
  <c r="W411" i="2"/>
  <c r="V411" i="2"/>
  <c r="AF410" i="2"/>
  <c r="AD410" i="2"/>
  <c r="AC410" i="2"/>
  <c r="Z410" i="2"/>
  <c r="Y410" i="2"/>
  <c r="AB410" i="2" s="1"/>
  <c r="AA410" i="2" s="1"/>
  <c r="X410" i="2"/>
  <c r="W410" i="2"/>
  <c r="V410" i="2"/>
  <c r="AF409" i="2"/>
  <c r="AD409" i="2"/>
  <c r="AC409" i="2"/>
  <c r="Z409" i="2"/>
  <c r="Y409" i="2"/>
  <c r="AB409" i="2" s="1"/>
  <c r="AA409" i="2" s="1"/>
  <c r="X409" i="2"/>
  <c r="W409" i="2"/>
  <c r="V409" i="2"/>
  <c r="AF408" i="2"/>
  <c r="AD408" i="2"/>
  <c r="AC408" i="2"/>
  <c r="Z408" i="2"/>
  <c r="Y408" i="2"/>
  <c r="AB408" i="2" s="1"/>
  <c r="AA408" i="2" s="1"/>
  <c r="X408" i="2"/>
  <c r="W408" i="2"/>
  <c r="V408" i="2"/>
  <c r="AF407" i="2"/>
  <c r="AD407" i="2"/>
  <c r="AC407" i="2"/>
  <c r="Z407" i="2"/>
  <c r="Y407" i="2"/>
  <c r="AB407" i="2" s="1"/>
  <c r="AA407" i="2" s="1"/>
  <c r="X407" i="2"/>
  <c r="W407" i="2"/>
  <c r="V407" i="2"/>
  <c r="AF406" i="2"/>
  <c r="AD406" i="2"/>
  <c r="AC406" i="2"/>
  <c r="Z406" i="2"/>
  <c r="Y406" i="2"/>
  <c r="AB406" i="2" s="1"/>
  <c r="AA406" i="2" s="1"/>
  <c r="X406" i="2"/>
  <c r="W406" i="2"/>
  <c r="V406" i="2"/>
  <c r="AF405" i="2"/>
  <c r="AD405" i="2"/>
  <c r="AC405" i="2"/>
  <c r="Z405" i="2"/>
  <c r="Y405" i="2"/>
  <c r="AB405" i="2" s="1"/>
  <c r="AA405" i="2" s="1"/>
  <c r="X405" i="2"/>
  <c r="W405" i="2"/>
  <c r="V405" i="2"/>
  <c r="AF404" i="2"/>
  <c r="AD404" i="2"/>
  <c r="AC404" i="2"/>
  <c r="Z404" i="2"/>
  <c r="Y404" i="2"/>
  <c r="AB404" i="2" s="1"/>
  <c r="AA404" i="2" s="1"/>
  <c r="X404" i="2"/>
  <c r="W404" i="2"/>
  <c r="V404" i="2"/>
  <c r="AF403" i="2"/>
  <c r="AD403" i="2"/>
  <c r="AC403" i="2"/>
  <c r="Z403" i="2"/>
  <c r="Y403" i="2"/>
  <c r="AB403" i="2" s="1"/>
  <c r="AA403" i="2" s="1"/>
  <c r="X403" i="2"/>
  <c r="W403" i="2"/>
  <c r="V403" i="2"/>
  <c r="AF402" i="2"/>
  <c r="AD402" i="2"/>
  <c r="AC402" i="2"/>
  <c r="Z402" i="2"/>
  <c r="Y402" i="2"/>
  <c r="AB402" i="2" s="1"/>
  <c r="AA402" i="2" s="1"/>
  <c r="X402" i="2"/>
  <c r="W402" i="2"/>
  <c r="V402" i="2"/>
  <c r="AF401" i="2"/>
  <c r="AD401" i="2"/>
  <c r="AC401" i="2"/>
  <c r="Z401" i="2"/>
  <c r="Y401" i="2"/>
  <c r="AB401" i="2" s="1"/>
  <c r="AA401" i="2" s="1"/>
  <c r="X401" i="2"/>
  <c r="W401" i="2"/>
  <c r="V401" i="2"/>
  <c r="AF400" i="2"/>
  <c r="AD400" i="2"/>
  <c r="AC400" i="2"/>
  <c r="Z400" i="2"/>
  <c r="Y400" i="2"/>
  <c r="AB400" i="2" s="1"/>
  <c r="AA400" i="2" s="1"/>
  <c r="X400" i="2"/>
  <c r="W400" i="2"/>
  <c r="V400" i="2"/>
  <c r="AF399" i="2"/>
  <c r="AD399" i="2"/>
  <c r="AC399" i="2"/>
  <c r="Z399" i="2"/>
  <c r="Y399" i="2"/>
  <c r="AB399" i="2" s="1"/>
  <c r="AA399" i="2" s="1"/>
  <c r="X399" i="2"/>
  <c r="W399" i="2"/>
  <c r="V399" i="2"/>
  <c r="AF398" i="2"/>
  <c r="AD398" i="2"/>
  <c r="AC398" i="2"/>
  <c r="Z398" i="2"/>
  <c r="Y398" i="2"/>
  <c r="AB398" i="2" s="1"/>
  <c r="AA398" i="2" s="1"/>
  <c r="X398" i="2"/>
  <c r="W398" i="2"/>
  <c r="V398" i="2"/>
  <c r="AF397" i="2"/>
  <c r="AD397" i="2"/>
  <c r="AC397" i="2"/>
  <c r="Z397" i="2"/>
  <c r="Y397" i="2"/>
  <c r="AB397" i="2" s="1"/>
  <c r="AA397" i="2" s="1"/>
  <c r="X397" i="2"/>
  <c r="W397" i="2"/>
  <c r="V397" i="2"/>
  <c r="AF396" i="2"/>
  <c r="AD396" i="2"/>
  <c r="AC396" i="2"/>
  <c r="Z396" i="2"/>
  <c r="Y396" i="2"/>
  <c r="AB396" i="2" s="1"/>
  <c r="AA396" i="2" s="1"/>
  <c r="X396" i="2"/>
  <c r="W396" i="2"/>
  <c r="V396" i="2"/>
  <c r="AF395" i="2"/>
  <c r="AD395" i="2"/>
  <c r="AC395" i="2"/>
  <c r="Z395" i="2"/>
  <c r="Y395" i="2"/>
  <c r="AB395" i="2" s="1"/>
  <c r="AA395" i="2" s="1"/>
  <c r="X395" i="2"/>
  <c r="W395" i="2"/>
  <c r="V395" i="2"/>
  <c r="AF394" i="2"/>
  <c r="AD394" i="2"/>
  <c r="AC394" i="2"/>
  <c r="Z394" i="2"/>
  <c r="Y394" i="2"/>
  <c r="AB394" i="2" s="1"/>
  <c r="AA394" i="2" s="1"/>
  <c r="X394" i="2"/>
  <c r="W394" i="2"/>
  <c r="V394" i="2"/>
  <c r="AF393" i="2"/>
  <c r="AD393" i="2"/>
  <c r="AC393" i="2"/>
  <c r="Z393" i="2"/>
  <c r="Y393" i="2"/>
  <c r="AB393" i="2" s="1"/>
  <c r="AA393" i="2" s="1"/>
  <c r="X393" i="2"/>
  <c r="W393" i="2"/>
  <c r="V393" i="2"/>
  <c r="AF392" i="2"/>
  <c r="AD392" i="2"/>
  <c r="AC392" i="2"/>
  <c r="Z392" i="2"/>
  <c r="Y392" i="2"/>
  <c r="AB392" i="2" s="1"/>
  <c r="AA392" i="2" s="1"/>
  <c r="X392" i="2"/>
  <c r="W392" i="2"/>
  <c r="V392" i="2"/>
  <c r="AF391" i="2"/>
  <c r="AD391" i="2"/>
  <c r="AC391" i="2"/>
  <c r="Z391" i="2"/>
  <c r="Y391" i="2"/>
  <c r="AB391" i="2" s="1"/>
  <c r="AA391" i="2" s="1"/>
  <c r="X391" i="2"/>
  <c r="W391" i="2"/>
  <c r="V391" i="2"/>
  <c r="AF390" i="2"/>
  <c r="AD390" i="2"/>
  <c r="AC390" i="2"/>
  <c r="Z390" i="2"/>
  <c r="Y390" i="2"/>
  <c r="AB390" i="2" s="1"/>
  <c r="AA390" i="2" s="1"/>
  <c r="X390" i="2"/>
  <c r="W390" i="2"/>
  <c r="V390" i="2"/>
  <c r="AF389" i="2"/>
  <c r="AD389" i="2"/>
  <c r="AC389" i="2"/>
  <c r="Z389" i="2"/>
  <c r="Y389" i="2"/>
  <c r="AB389" i="2" s="1"/>
  <c r="AA389" i="2" s="1"/>
  <c r="X389" i="2"/>
  <c r="W389" i="2"/>
  <c r="V389" i="2"/>
  <c r="AF388" i="2"/>
  <c r="AD388" i="2"/>
  <c r="AC388" i="2"/>
  <c r="Z388" i="2"/>
  <c r="Y388" i="2"/>
  <c r="AB388" i="2" s="1"/>
  <c r="AA388" i="2" s="1"/>
  <c r="X388" i="2"/>
  <c r="W388" i="2"/>
  <c r="V388" i="2"/>
  <c r="AF387" i="2"/>
  <c r="AD387" i="2"/>
  <c r="AC387" i="2"/>
  <c r="Z387" i="2"/>
  <c r="Y387" i="2"/>
  <c r="AB387" i="2" s="1"/>
  <c r="AA387" i="2" s="1"/>
  <c r="X387" i="2"/>
  <c r="W387" i="2"/>
  <c r="V387" i="2"/>
  <c r="AF386" i="2"/>
  <c r="AD386" i="2"/>
  <c r="AC386" i="2"/>
  <c r="Z386" i="2"/>
  <c r="Y386" i="2"/>
  <c r="AB386" i="2" s="1"/>
  <c r="AA386" i="2" s="1"/>
  <c r="X386" i="2"/>
  <c r="W386" i="2"/>
  <c r="V386" i="2"/>
  <c r="AF385" i="2"/>
  <c r="AD385" i="2"/>
  <c r="AC385" i="2"/>
  <c r="Z385" i="2"/>
  <c r="Y385" i="2"/>
  <c r="AB385" i="2" s="1"/>
  <c r="AA385" i="2" s="1"/>
  <c r="X385" i="2"/>
  <c r="W385" i="2"/>
  <c r="V385" i="2"/>
  <c r="AF384" i="2"/>
  <c r="AD384" i="2"/>
  <c r="AC384" i="2"/>
  <c r="Z384" i="2"/>
  <c r="Y384" i="2"/>
  <c r="AB384" i="2" s="1"/>
  <c r="AA384" i="2" s="1"/>
  <c r="X384" i="2"/>
  <c r="W384" i="2"/>
  <c r="V384" i="2"/>
  <c r="AF383" i="2"/>
  <c r="AD383" i="2"/>
  <c r="AC383" i="2"/>
  <c r="Z383" i="2"/>
  <c r="Y383" i="2"/>
  <c r="AB383" i="2" s="1"/>
  <c r="AA383" i="2" s="1"/>
  <c r="X383" i="2"/>
  <c r="W383" i="2"/>
  <c r="V383" i="2"/>
  <c r="AF382" i="2"/>
  <c r="AD382" i="2"/>
  <c r="AC382" i="2"/>
  <c r="Z382" i="2"/>
  <c r="Y382" i="2"/>
  <c r="AB382" i="2" s="1"/>
  <c r="AA382" i="2" s="1"/>
  <c r="X382" i="2"/>
  <c r="W382" i="2"/>
  <c r="V382" i="2"/>
  <c r="AF381" i="2"/>
  <c r="AD381" i="2"/>
  <c r="AC381" i="2"/>
  <c r="Z381" i="2"/>
  <c r="Y381" i="2"/>
  <c r="AB381" i="2" s="1"/>
  <c r="AA381" i="2" s="1"/>
  <c r="X381" i="2"/>
  <c r="W381" i="2"/>
  <c r="V381" i="2"/>
  <c r="AF380" i="2"/>
  <c r="AD380" i="2"/>
  <c r="AC380" i="2"/>
  <c r="Z380" i="2"/>
  <c r="Y380" i="2"/>
  <c r="AB380" i="2" s="1"/>
  <c r="AA380" i="2" s="1"/>
  <c r="X380" i="2"/>
  <c r="W380" i="2"/>
  <c r="V380" i="2"/>
  <c r="AF379" i="2"/>
  <c r="AD379" i="2"/>
  <c r="AC379" i="2"/>
  <c r="Z379" i="2"/>
  <c r="Y379" i="2"/>
  <c r="AB379" i="2" s="1"/>
  <c r="AA379" i="2" s="1"/>
  <c r="X379" i="2"/>
  <c r="W379" i="2"/>
  <c r="V379" i="2"/>
  <c r="AF378" i="2"/>
  <c r="AD378" i="2"/>
  <c r="AC378" i="2"/>
  <c r="Z378" i="2"/>
  <c r="Y378" i="2"/>
  <c r="AB378" i="2" s="1"/>
  <c r="AA378" i="2" s="1"/>
  <c r="X378" i="2"/>
  <c r="W378" i="2"/>
  <c r="V378" i="2"/>
  <c r="AF377" i="2"/>
  <c r="AD377" i="2"/>
  <c r="AC377" i="2"/>
  <c r="Z377" i="2"/>
  <c r="Y377" i="2"/>
  <c r="AB377" i="2" s="1"/>
  <c r="AA377" i="2" s="1"/>
  <c r="X377" i="2"/>
  <c r="W377" i="2"/>
  <c r="V377" i="2"/>
  <c r="AF376" i="2"/>
  <c r="AD376" i="2"/>
  <c r="AC376" i="2"/>
  <c r="Z376" i="2"/>
  <c r="Y376" i="2"/>
  <c r="AB376" i="2" s="1"/>
  <c r="AA376" i="2" s="1"/>
  <c r="X376" i="2"/>
  <c r="W376" i="2"/>
  <c r="V376" i="2"/>
  <c r="AF375" i="2"/>
  <c r="AD375" i="2"/>
  <c r="AC375" i="2"/>
  <c r="Z375" i="2"/>
  <c r="Y375" i="2"/>
  <c r="AB375" i="2" s="1"/>
  <c r="AA375" i="2" s="1"/>
  <c r="X375" i="2"/>
  <c r="W375" i="2"/>
  <c r="V375" i="2"/>
  <c r="AF374" i="2"/>
  <c r="AD374" i="2"/>
  <c r="AC374" i="2"/>
  <c r="Z374" i="2"/>
  <c r="Y374" i="2"/>
  <c r="AB374" i="2" s="1"/>
  <c r="AA374" i="2" s="1"/>
  <c r="X374" i="2"/>
  <c r="W374" i="2"/>
  <c r="V374" i="2"/>
  <c r="AF373" i="2"/>
  <c r="AD373" i="2"/>
  <c r="AC373" i="2"/>
  <c r="Z373" i="2"/>
  <c r="Y373" i="2"/>
  <c r="AB373" i="2" s="1"/>
  <c r="AA373" i="2" s="1"/>
  <c r="X373" i="2"/>
  <c r="W373" i="2"/>
  <c r="V373" i="2"/>
  <c r="AF372" i="2"/>
  <c r="AD372" i="2"/>
  <c r="AC372" i="2"/>
  <c r="Z372" i="2"/>
  <c r="Y372" i="2"/>
  <c r="AB372" i="2" s="1"/>
  <c r="AA372" i="2" s="1"/>
  <c r="X372" i="2"/>
  <c r="W372" i="2"/>
  <c r="V372" i="2"/>
  <c r="AF371" i="2"/>
  <c r="AD371" i="2"/>
  <c r="AC371" i="2"/>
  <c r="Z371" i="2"/>
  <c r="Y371" i="2"/>
  <c r="AB371" i="2" s="1"/>
  <c r="AA371" i="2" s="1"/>
  <c r="X371" i="2"/>
  <c r="W371" i="2"/>
  <c r="V371" i="2"/>
  <c r="AF370" i="2"/>
  <c r="AD370" i="2"/>
  <c r="AC370" i="2"/>
  <c r="Z370" i="2"/>
  <c r="Y370" i="2"/>
  <c r="AB370" i="2" s="1"/>
  <c r="AA370" i="2" s="1"/>
  <c r="X370" i="2"/>
  <c r="W370" i="2"/>
  <c r="V370" i="2"/>
  <c r="AF369" i="2"/>
  <c r="AD369" i="2"/>
  <c r="AC369" i="2"/>
  <c r="Z369" i="2"/>
  <c r="Y369" i="2"/>
  <c r="AB369" i="2" s="1"/>
  <c r="AA369" i="2" s="1"/>
  <c r="X369" i="2"/>
  <c r="W369" i="2"/>
  <c r="V369" i="2"/>
  <c r="AF368" i="2"/>
  <c r="AD368" i="2"/>
  <c r="AC368" i="2"/>
  <c r="Z368" i="2"/>
  <c r="Y368" i="2"/>
  <c r="AB368" i="2" s="1"/>
  <c r="AA368" i="2" s="1"/>
  <c r="X368" i="2"/>
  <c r="W368" i="2"/>
  <c r="V368" i="2"/>
  <c r="AF367" i="2"/>
  <c r="AD367" i="2"/>
  <c r="AC367" i="2"/>
  <c r="Z367" i="2"/>
  <c r="Y367" i="2"/>
  <c r="AB367" i="2" s="1"/>
  <c r="AA367" i="2" s="1"/>
  <c r="X367" i="2"/>
  <c r="W367" i="2"/>
  <c r="V367" i="2"/>
  <c r="AF366" i="2"/>
  <c r="AD366" i="2"/>
  <c r="AC366" i="2"/>
  <c r="Z366" i="2"/>
  <c r="Y366" i="2"/>
  <c r="AB366" i="2" s="1"/>
  <c r="AA366" i="2" s="1"/>
  <c r="X366" i="2"/>
  <c r="W366" i="2"/>
  <c r="V366" i="2"/>
  <c r="AF365" i="2"/>
  <c r="AD365" i="2"/>
  <c r="AC365" i="2"/>
  <c r="Z365" i="2"/>
  <c r="Y365" i="2"/>
  <c r="AB365" i="2" s="1"/>
  <c r="AA365" i="2" s="1"/>
  <c r="X365" i="2"/>
  <c r="W365" i="2"/>
  <c r="V365" i="2"/>
  <c r="AF364" i="2"/>
  <c r="AD364" i="2"/>
  <c r="AC364" i="2"/>
  <c r="Z364" i="2"/>
  <c r="Y364" i="2"/>
  <c r="AB364" i="2" s="1"/>
  <c r="AA364" i="2" s="1"/>
  <c r="X364" i="2"/>
  <c r="W364" i="2"/>
  <c r="V364" i="2"/>
  <c r="AF363" i="2"/>
  <c r="AD363" i="2"/>
  <c r="AC363" i="2"/>
  <c r="Z363" i="2"/>
  <c r="Y363" i="2"/>
  <c r="AB363" i="2" s="1"/>
  <c r="AA363" i="2" s="1"/>
  <c r="X363" i="2"/>
  <c r="W363" i="2"/>
  <c r="V363" i="2"/>
  <c r="AF362" i="2"/>
  <c r="AD362" i="2"/>
  <c r="AC362" i="2"/>
  <c r="Z362" i="2"/>
  <c r="Y362" i="2"/>
  <c r="AB362" i="2" s="1"/>
  <c r="AA362" i="2" s="1"/>
  <c r="X362" i="2"/>
  <c r="W362" i="2"/>
  <c r="V362" i="2"/>
  <c r="AF361" i="2"/>
  <c r="AD361" i="2"/>
  <c r="AC361" i="2"/>
  <c r="Z361" i="2"/>
  <c r="Y361" i="2"/>
  <c r="AB361" i="2" s="1"/>
  <c r="AA361" i="2" s="1"/>
  <c r="X361" i="2"/>
  <c r="W361" i="2"/>
  <c r="V361" i="2"/>
  <c r="AF360" i="2"/>
  <c r="AD360" i="2"/>
  <c r="AC360" i="2"/>
  <c r="Z360" i="2"/>
  <c r="Y360" i="2"/>
  <c r="AB360" i="2" s="1"/>
  <c r="AA360" i="2" s="1"/>
  <c r="X360" i="2"/>
  <c r="W360" i="2"/>
  <c r="V360" i="2"/>
  <c r="AF359" i="2"/>
  <c r="AD359" i="2"/>
  <c r="AC359" i="2"/>
  <c r="Z359" i="2"/>
  <c r="Y359" i="2"/>
  <c r="AB359" i="2" s="1"/>
  <c r="AA359" i="2" s="1"/>
  <c r="X359" i="2"/>
  <c r="W359" i="2"/>
  <c r="V359" i="2"/>
  <c r="AF358" i="2"/>
  <c r="AD358" i="2"/>
  <c r="AC358" i="2"/>
  <c r="Z358" i="2"/>
  <c r="Y358" i="2"/>
  <c r="AB358" i="2" s="1"/>
  <c r="AA358" i="2" s="1"/>
  <c r="X358" i="2"/>
  <c r="W358" i="2"/>
  <c r="V358" i="2"/>
  <c r="AF357" i="2"/>
  <c r="AD357" i="2"/>
  <c r="AC357" i="2"/>
  <c r="Z357" i="2"/>
  <c r="Y357" i="2"/>
  <c r="AB357" i="2" s="1"/>
  <c r="AA357" i="2" s="1"/>
  <c r="X357" i="2"/>
  <c r="W357" i="2"/>
  <c r="V357" i="2"/>
  <c r="AF356" i="2"/>
  <c r="AD356" i="2"/>
  <c r="AC356" i="2"/>
  <c r="Z356" i="2"/>
  <c r="Y356" i="2"/>
  <c r="AB356" i="2" s="1"/>
  <c r="AA356" i="2" s="1"/>
  <c r="X356" i="2"/>
  <c r="W356" i="2"/>
  <c r="V356" i="2"/>
  <c r="AF355" i="2"/>
  <c r="AD355" i="2"/>
  <c r="AC355" i="2"/>
  <c r="Z355" i="2"/>
  <c r="Y355" i="2"/>
  <c r="AB355" i="2" s="1"/>
  <c r="AA355" i="2" s="1"/>
  <c r="X355" i="2"/>
  <c r="W355" i="2"/>
  <c r="V355" i="2"/>
  <c r="AF354" i="2"/>
  <c r="AD354" i="2"/>
  <c r="AC354" i="2"/>
  <c r="Z354" i="2"/>
  <c r="Y354" i="2"/>
  <c r="AB354" i="2" s="1"/>
  <c r="AA354" i="2" s="1"/>
  <c r="X354" i="2"/>
  <c r="W354" i="2"/>
  <c r="V354" i="2"/>
  <c r="AF353" i="2"/>
  <c r="AD353" i="2"/>
  <c r="AC353" i="2"/>
  <c r="Z353" i="2"/>
  <c r="Y353" i="2"/>
  <c r="AB353" i="2" s="1"/>
  <c r="AA353" i="2" s="1"/>
  <c r="X353" i="2"/>
  <c r="W353" i="2"/>
  <c r="V353" i="2"/>
  <c r="AF352" i="2"/>
  <c r="AD352" i="2"/>
  <c r="AC352" i="2"/>
  <c r="Z352" i="2"/>
  <c r="Y352" i="2"/>
  <c r="AB352" i="2" s="1"/>
  <c r="AA352" i="2" s="1"/>
  <c r="X352" i="2"/>
  <c r="W352" i="2"/>
  <c r="V352" i="2"/>
  <c r="AF351" i="2"/>
  <c r="AD351" i="2"/>
  <c r="AC351" i="2"/>
  <c r="Z351" i="2"/>
  <c r="Y351" i="2"/>
  <c r="AB351" i="2" s="1"/>
  <c r="AA351" i="2" s="1"/>
  <c r="X351" i="2"/>
  <c r="W351" i="2"/>
  <c r="V351" i="2"/>
  <c r="AF350" i="2"/>
  <c r="AD350" i="2"/>
  <c r="AC350" i="2"/>
  <c r="Z350" i="2"/>
  <c r="Y350" i="2"/>
  <c r="AB350" i="2" s="1"/>
  <c r="AA350" i="2" s="1"/>
  <c r="X350" i="2"/>
  <c r="W350" i="2"/>
  <c r="V350" i="2"/>
  <c r="AF349" i="2"/>
  <c r="AD349" i="2"/>
  <c r="AC349" i="2"/>
  <c r="Z349" i="2"/>
  <c r="Y349" i="2"/>
  <c r="AB349" i="2" s="1"/>
  <c r="AA349" i="2" s="1"/>
  <c r="X349" i="2"/>
  <c r="W349" i="2"/>
  <c r="V349" i="2"/>
  <c r="AF348" i="2"/>
  <c r="AD348" i="2"/>
  <c r="AC348" i="2"/>
  <c r="Z348" i="2"/>
  <c r="Y348" i="2"/>
  <c r="AB348" i="2" s="1"/>
  <c r="AA348" i="2" s="1"/>
  <c r="X348" i="2"/>
  <c r="W348" i="2"/>
  <c r="V348" i="2"/>
  <c r="AF347" i="2"/>
  <c r="AD347" i="2"/>
  <c r="AC347" i="2"/>
  <c r="Z347" i="2"/>
  <c r="Y347" i="2"/>
  <c r="AB347" i="2" s="1"/>
  <c r="AA347" i="2" s="1"/>
  <c r="X347" i="2"/>
  <c r="W347" i="2"/>
  <c r="V347" i="2"/>
  <c r="AF346" i="2"/>
  <c r="AD346" i="2"/>
  <c r="AC346" i="2"/>
  <c r="Z346" i="2"/>
  <c r="Y346" i="2"/>
  <c r="AB346" i="2" s="1"/>
  <c r="AA346" i="2" s="1"/>
  <c r="X346" i="2"/>
  <c r="W346" i="2"/>
  <c r="V346" i="2"/>
  <c r="AF345" i="2"/>
  <c r="AD345" i="2"/>
  <c r="AC345" i="2"/>
  <c r="Z345" i="2"/>
  <c r="Y345" i="2"/>
  <c r="AB345" i="2" s="1"/>
  <c r="AA345" i="2" s="1"/>
  <c r="X345" i="2"/>
  <c r="W345" i="2"/>
  <c r="V345" i="2"/>
  <c r="AF344" i="2"/>
  <c r="AD344" i="2"/>
  <c r="AC344" i="2"/>
  <c r="Z344" i="2"/>
  <c r="Y344" i="2"/>
  <c r="AB344" i="2" s="1"/>
  <c r="AA344" i="2" s="1"/>
  <c r="X344" i="2"/>
  <c r="W344" i="2"/>
  <c r="V344" i="2"/>
  <c r="AF343" i="2"/>
  <c r="AD343" i="2"/>
  <c r="AC343" i="2"/>
  <c r="Z343" i="2"/>
  <c r="Y343" i="2"/>
  <c r="AB343" i="2" s="1"/>
  <c r="AA343" i="2" s="1"/>
  <c r="X343" i="2"/>
  <c r="W343" i="2"/>
  <c r="V343" i="2"/>
  <c r="AF342" i="2"/>
  <c r="AD342" i="2"/>
  <c r="AC342" i="2"/>
  <c r="Z342" i="2"/>
  <c r="Y342" i="2"/>
  <c r="AB342" i="2" s="1"/>
  <c r="AA342" i="2" s="1"/>
  <c r="X342" i="2"/>
  <c r="W342" i="2"/>
  <c r="V342" i="2"/>
  <c r="AF341" i="2"/>
  <c r="AD341" i="2"/>
  <c r="AC341" i="2"/>
  <c r="Z341" i="2"/>
  <c r="Y341" i="2"/>
  <c r="AB341" i="2" s="1"/>
  <c r="AA341" i="2" s="1"/>
  <c r="X341" i="2"/>
  <c r="W341" i="2"/>
  <c r="V341" i="2"/>
  <c r="AF340" i="2"/>
  <c r="AD340" i="2"/>
  <c r="AC340" i="2"/>
  <c r="Z340" i="2"/>
  <c r="Y340" i="2"/>
  <c r="AB340" i="2" s="1"/>
  <c r="AA340" i="2" s="1"/>
  <c r="X340" i="2"/>
  <c r="W340" i="2"/>
  <c r="V340" i="2"/>
  <c r="AF339" i="2"/>
  <c r="AD339" i="2"/>
  <c r="AC339" i="2"/>
  <c r="Z339" i="2"/>
  <c r="Y339" i="2"/>
  <c r="AB339" i="2" s="1"/>
  <c r="AA339" i="2" s="1"/>
  <c r="X339" i="2"/>
  <c r="W339" i="2"/>
  <c r="V339" i="2"/>
  <c r="AF338" i="2"/>
  <c r="AD338" i="2"/>
  <c r="AC338" i="2"/>
  <c r="Z338" i="2"/>
  <c r="Y338" i="2"/>
  <c r="AB338" i="2" s="1"/>
  <c r="AA338" i="2" s="1"/>
  <c r="X338" i="2"/>
  <c r="W338" i="2"/>
  <c r="V338" i="2"/>
  <c r="AF337" i="2"/>
  <c r="AD337" i="2"/>
  <c r="AC337" i="2"/>
  <c r="Z337" i="2"/>
  <c r="Y337" i="2"/>
  <c r="AB337" i="2" s="1"/>
  <c r="AA337" i="2" s="1"/>
  <c r="X337" i="2"/>
  <c r="W337" i="2"/>
  <c r="V337" i="2"/>
  <c r="AF336" i="2"/>
  <c r="AD336" i="2"/>
  <c r="AC336" i="2"/>
  <c r="Z336" i="2"/>
  <c r="Y336" i="2"/>
  <c r="AB336" i="2" s="1"/>
  <c r="AA336" i="2" s="1"/>
  <c r="X336" i="2"/>
  <c r="W336" i="2"/>
  <c r="V336" i="2"/>
  <c r="AF335" i="2"/>
  <c r="AD335" i="2"/>
  <c r="AC335" i="2"/>
  <c r="Z335" i="2"/>
  <c r="Y335" i="2"/>
  <c r="AB335" i="2" s="1"/>
  <c r="AA335" i="2" s="1"/>
  <c r="X335" i="2"/>
  <c r="W335" i="2"/>
  <c r="V335" i="2"/>
  <c r="AF334" i="2"/>
  <c r="AD334" i="2"/>
  <c r="AC334" i="2"/>
  <c r="Z334" i="2"/>
  <c r="Y334" i="2"/>
  <c r="AB334" i="2" s="1"/>
  <c r="AA334" i="2" s="1"/>
  <c r="X334" i="2"/>
  <c r="W334" i="2"/>
  <c r="V334" i="2"/>
  <c r="AF333" i="2"/>
  <c r="AD333" i="2"/>
  <c r="AC333" i="2"/>
  <c r="Z333" i="2"/>
  <c r="Y333" i="2"/>
  <c r="AB333" i="2" s="1"/>
  <c r="AA333" i="2" s="1"/>
  <c r="X333" i="2"/>
  <c r="W333" i="2"/>
  <c r="V333" i="2"/>
  <c r="AF332" i="2"/>
  <c r="AD332" i="2"/>
  <c r="AC332" i="2"/>
  <c r="Z332" i="2"/>
  <c r="Y332" i="2"/>
  <c r="AB332" i="2" s="1"/>
  <c r="AA332" i="2" s="1"/>
  <c r="X332" i="2"/>
  <c r="W332" i="2"/>
  <c r="V332" i="2"/>
  <c r="AF331" i="2"/>
  <c r="AD331" i="2"/>
  <c r="AC331" i="2"/>
  <c r="Z331" i="2"/>
  <c r="Y331" i="2"/>
  <c r="AB331" i="2" s="1"/>
  <c r="AA331" i="2" s="1"/>
  <c r="X331" i="2"/>
  <c r="W331" i="2"/>
  <c r="V331" i="2"/>
  <c r="AF330" i="2"/>
  <c r="AD330" i="2"/>
  <c r="AC330" i="2"/>
  <c r="Z330" i="2"/>
  <c r="Y330" i="2"/>
  <c r="AB330" i="2" s="1"/>
  <c r="AA330" i="2" s="1"/>
  <c r="X330" i="2"/>
  <c r="W330" i="2"/>
  <c r="V330" i="2"/>
  <c r="AF329" i="2"/>
  <c r="AD329" i="2"/>
  <c r="AC329" i="2"/>
  <c r="Z329" i="2"/>
  <c r="Y329" i="2"/>
  <c r="AB329" i="2" s="1"/>
  <c r="AA329" i="2" s="1"/>
  <c r="X329" i="2"/>
  <c r="W329" i="2"/>
  <c r="V329" i="2"/>
  <c r="AF328" i="2"/>
  <c r="AD328" i="2"/>
  <c r="AC328" i="2"/>
  <c r="Z328" i="2"/>
  <c r="Y328" i="2"/>
  <c r="AB328" i="2" s="1"/>
  <c r="AA328" i="2" s="1"/>
  <c r="X328" i="2"/>
  <c r="W328" i="2"/>
  <c r="V328" i="2"/>
  <c r="AF327" i="2"/>
  <c r="AD327" i="2"/>
  <c r="AC327" i="2"/>
  <c r="Z327" i="2"/>
  <c r="Y327" i="2"/>
  <c r="AB327" i="2" s="1"/>
  <c r="AA327" i="2" s="1"/>
  <c r="X327" i="2"/>
  <c r="W327" i="2"/>
  <c r="V327" i="2"/>
  <c r="AF326" i="2"/>
  <c r="AD326" i="2"/>
  <c r="AC326" i="2"/>
  <c r="Z326" i="2"/>
  <c r="Y326" i="2"/>
  <c r="AB326" i="2" s="1"/>
  <c r="AA326" i="2" s="1"/>
  <c r="X326" i="2"/>
  <c r="W326" i="2"/>
  <c r="V326" i="2"/>
  <c r="AF325" i="2"/>
  <c r="AD325" i="2"/>
  <c r="AC325" i="2"/>
  <c r="Z325" i="2"/>
  <c r="Y325" i="2"/>
  <c r="AB325" i="2" s="1"/>
  <c r="AA325" i="2" s="1"/>
  <c r="X325" i="2"/>
  <c r="W325" i="2"/>
  <c r="V325" i="2"/>
  <c r="AF324" i="2"/>
  <c r="AD324" i="2"/>
  <c r="AC324" i="2"/>
  <c r="Z324" i="2"/>
  <c r="Y324" i="2"/>
  <c r="AB324" i="2" s="1"/>
  <c r="AA324" i="2" s="1"/>
  <c r="X324" i="2"/>
  <c r="W324" i="2"/>
  <c r="V324" i="2"/>
  <c r="AF323" i="2"/>
  <c r="AD323" i="2"/>
  <c r="AC323" i="2"/>
  <c r="Z323" i="2"/>
  <c r="Y323" i="2"/>
  <c r="AB323" i="2" s="1"/>
  <c r="AA323" i="2" s="1"/>
  <c r="X323" i="2"/>
  <c r="W323" i="2"/>
  <c r="V323" i="2"/>
  <c r="AF322" i="2"/>
  <c r="AD322" i="2"/>
  <c r="AC322" i="2"/>
  <c r="Z322" i="2"/>
  <c r="Y322" i="2"/>
  <c r="AB322" i="2" s="1"/>
  <c r="AA322" i="2" s="1"/>
  <c r="X322" i="2"/>
  <c r="W322" i="2"/>
  <c r="V322" i="2"/>
  <c r="AF321" i="2"/>
  <c r="AD321" i="2"/>
  <c r="AC321" i="2"/>
  <c r="Z321" i="2"/>
  <c r="Y321" i="2"/>
  <c r="AB321" i="2" s="1"/>
  <c r="AA321" i="2" s="1"/>
  <c r="X321" i="2"/>
  <c r="W321" i="2"/>
  <c r="V321" i="2"/>
  <c r="AF320" i="2"/>
  <c r="AD320" i="2"/>
  <c r="AC320" i="2"/>
  <c r="Z320" i="2"/>
  <c r="Y320" i="2"/>
  <c r="AB320" i="2" s="1"/>
  <c r="AA320" i="2" s="1"/>
  <c r="X320" i="2"/>
  <c r="W320" i="2"/>
  <c r="V320" i="2"/>
  <c r="AF319" i="2"/>
  <c r="AD319" i="2"/>
  <c r="AC319" i="2"/>
  <c r="Z319" i="2"/>
  <c r="Y319" i="2"/>
  <c r="AB319" i="2" s="1"/>
  <c r="AA319" i="2" s="1"/>
  <c r="X319" i="2"/>
  <c r="W319" i="2"/>
  <c r="V319" i="2"/>
  <c r="AF318" i="2"/>
  <c r="AD318" i="2"/>
  <c r="AC318" i="2"/>
  <c r="Z318" i="2"/>
  <c r="Y318" i="2"/>
  <c r="AB318" i="2" s="1"/>
  <c r="AA318" i="2" s="1"/>
  <c r="X318" i="2"/>
  <c r="W318" i="2"/>
  <c r="V318" i="2"/>
  <c r="AF317" i="2"/>
  <c r="AD317" i="2"/>
  <c r="AC317" i="2"/>
  <c r="Z317" i="2"/>
  <c r="Y317" i="2"/>
  <c r="AB317" i="2" s="1"/>
  <c r="AA317" i="2" s="1"/>
  <c r="X317" i="2"/>
  <c r="W317" i="2"/>
  <c r="V317" i="2"/>
  <c r="AF316" i="2"/>
  <c r="AD316" i="2"/>
  <c r="AC316" i="2"/>
  <c r="Z316" i="2"/>
  <c r="Y316" i="2"/>
  <c r="AB316" i="2" s="1"/>
  <c r="AA316" i="2" s="1"/>
  <c r="X316" i="2"/>
  <c r="W316" i="2"/>
  <c r="V316" i="2"/>
  <c r="AF315" i="2"/>
  <c r="AD315" i="2"/>
  <c r="AC315" i="2"/>
  <c r="Z315" i="2"/>
  <c r="Y315" i="2"/>
  <c r="AB315" i="2" s="1"/>
  <c r="AA315" i="2" s="1"/>
  <c r="X315" i="2"/>
  <c r="W315" i="2"/>
  <c r="V315" i="2"/>
  <c r="AF314" i="2"/>
  <c r="AD314" i="2"/>
  <c r="AC314" i="2"/>
  <c r="Z314" i="2"/>
  <c r="Y314" i="2"/>
  <c r="AB314" i="2" s="1"/>
  <c r="AA314" i="2" s="1"/>
  <c r="X314" i="2"/>
  <c r="W314" i="2"/>
  <c r="V314" i="2"/>
  <c r="AF313" i="2"/>
  <c r="AD313" i="2"/>
  <c r="AC313" i="2"/>
  <c r="Z313" i="2"/>
  <c r="Y313" i="2"/>
  <c r="AB313" i="2" s="1"/>
  <c r="AA313" i="2" s="1"/>
  <c r="X313" i="2"/>
  <c r="W313" i="2"/>
  <c r="V313" i="2"/>
  <c r="AF312" i="2"/>
  <c r="AD312" i="2"/>
  <c r="AC312" i="2"/>
  <c r="Z312" i="2"/>
  <c r="Y312" i="2"/>
  <c r="AB312" i="2" s="1"/>
  <c r="AA312" i="2" s="1"/>
  <c r="X312" i="2"/>
  <c r="W312" i="2"/>
  <c r="V312" i="2"/>
  <c r="AF311" i="2"/>
  <c r="AD311" i="2"/>
  <c r="AC311" i="2"/>
  <c r="Z311" i="2"/>
  <c r="Y311" i="2"/>
  <c r="AB311" i="2" s="1"/>
  <c r="AA311" i="2" s="1"/>
  <c r="X311" i="2"/>
  <c r="W311" i="2"/>
  <c r="V311" i="2"/>
  <c r="AF310" i="2"/>
  <c r="AD310" i="2"/>
  <c r="AC310" i="2"/>
  <c r="Z310" i="2"/>
  <c r="Y310" i="2"/>
  <c r="AB310" i="2" s="1"/>
  <c r="AA310" i="2" s="1"/>
  <c r="X310" i="2"/>
  <c r="W310" i="2"/>
  <c r="V310" i="2"/>
  <c r="AF309" i="2"/>
  <c r="AD309" i="2"/>
  <c r="AC309" i="2"/>
  <c r="Z309" i="2"/>
  <c r="Y309" i="2"/>
  <c r="AB309" i="2" s="1"/>
  <c r="AA309" i="2" s="1"/>
  <c r="X309" i="2"/>
  <c r="W309" i="2"/>
  <c r="V309" i="2"/>
  <c r="AF308" i="2"/>
  <c r="AD308" i="2"/>
  <c r="AC308" i="2"/>
  <c r="Z308" i="2"/>
  <c r="Y308" i="2"/>
  <c r="AB308" i="2" s="1"/>
  <c r="AA308" i="2" s="1"/>
  <c r="X308" i="2"/>
  <c r="W308" i="2"/>
  <c r="V308" i="2"/>
  <c r="AF307" i="2"/>
  <c r="AD307" i="2"/>
  <c r="AC307" i="2"/>
  <c r="Z307" i="2"/>
  <c r="Y307" i="2"/>
  <c r="AB307" i="2" s="1"/>
  <c r="AA307" i="2" s="1"/>
  <c r="X307" i="2"/>
  <c r="W307" i="2"/>
  <c r="V307" i="2"/>
  <c r="AF306" i="2"/>
  <c r="AD306" i="2"/>
  <c r="AC306" i="2"/>
  <c r="Z306" i="2"/>
  <c r="Y306" i="2"/>
  <c r="AB306" i="2" s="1"/>
  <c r="AA306" i="2" s="1"/>
  <c r="X306" i="2"/>
  <c r="W306" i="2"/>
  <c r="V306" i="2"/>
  <c r="AF305" i="2"/>
  <c r="AD305" i="2"/>
  <c r="AC305" i="2"/>
  <c r="Z305" i="2"/>
  <c r="Y305" i="2"/>
  <c r="AB305" i="2" s="1"/>
  <c r="AA305" i="2" s="1"/>
  <c r="X305" i="2"/>
  <c r="W305" i="2"/>
  <c r="V305" i="2"/>
  <c r="AF304" i="2"/>
  <c r="AD304" i="2"/>
  <c r="AC304" i="2"/>
  <c r="Z304" i="2"/>
  <c r="Y304" i="2"/>
  <c r="AB304" i="2" s="1"/>
  <c r="AA304" i="2" s="1"/>
  <c r="X304" i="2"/>
  <c r="W304" i="2"/>
  <c r="V304" i="2"/>
  <c r="AF303" i="2"/>
  <c r="AD303" i="2"/>
  <c r="AC303" i="2"/>
  <c r="Z303" i="2"/>
  <c r="Y303" i="2"/>
  <c r="AB303" i="2" s="1"/>
  <c r="AA303" i="2" s="1"/>
  <c r="X303" i="2"/>
  <c r="W303" i="2"/>
  <c r="V303" i="2"/>
  <c r="AF302" i="2"/>
  <c r="AD302" i="2"/>
  <c r="AC302" i="2"/>
  <c r="Z302" i="2"/>
  <c r="Y302" i="2"/>
  <c r="AB302" i="2" s="1"/>
  <c r="AA302" i="2" s="1"/>
  <c r="X302" i="2"/>
  <c r="W302" i="2"/>
  <c r="V302" i="2"/>
  <c r="AF301" i="2"/>
  <c r="AD301" i="2"/>
  <c r="AC301" i="2"/>
  <c r="Z301" i="2"/>
  <c r="Y301" i="2"/>
  <c r="AB301" i="2" s="1"/>
  <c r="AA301" i="2" s="1"/>
  <c r="X301" i="2"/>
  <c r="W301" i="2"/>
  <c r="V301" i="2"/>
  <c r="AF300" i="2"/>
  <c r="AD300" i="2"/>
  <c r="AC300" i="2"/>
  <c r="Z300" i="2"/>
  <c r="Y300" i="2"/>
  <c r="AB300" i="2" s="1"/>
  <c r="AA300" i="2" s="1"/>
  <c r="X300" i="2"/>
  <c r="W300" i="2"/>
  <c r="V300" i="2"/>
  <c r="AF299" i="2"/>
  <c r="AD299" i="2"/>
  <c r="AC299" i="2"/>
  <c r="Z299" i="2"/>
  <c r="Y299" i="2"/>
  <c r="AB299" i="2" s="1"/>
  <c r="AA299" i="2" s="1"/>
  <c r="X299" i="2"/>
  <c r="W299" i="2"/>
  <c r="V299" i="2"/>
  <c r="AF298" i="2"/>
  <c r="AD298" i="2"/>
  <c r="AC298" i="2"/>
  <c r="Z298" i="2"/>
  <c r="Y298" i="2"/>
  <c r="AB298" i="2" s="1"/>
  <c r="AA298" i="2" s="1"/>
  <c r="X298" i="2"/>
  <c r="W298" i="2"/>
  <c r="V298" i="2"/>
  <c r="AF297" i="2"/>
  <c r="AD297" i="2"/>
  <c r="AC297" i="2"/>
  <c r="Z297" i="2"/>
  <c r="Y297" i="2"/>
  <c r="AB297" i="2" s="1"/>
  <c r="AA297" i="2" s="1"/>
  <c r="X297" i="2"/>
  <c r="W297" i="2"/>
  <c r="V297" i="2"/>
  <c r="AF296" i="2"/>
  <c r="AD296" i="2"/>
  <c r="AC296" i="2"/>
  <c r="Z296" i="2"/>
  <c r="Y296" i="2"/>
  <c r="AB296" i="2" s="1"/>
  <c r="AA296" i="2" s="1"/>
  <c r="X296" i="2"/>
  <c r="W296" i="2"/>
  <c r="V296" i="2"/>
  <c r="AF295" i="2"/>
  <c r="AD295" i="2"/>
  <c r="AC295" i="2"/>
  <c r="Z295" i="2"/>
  <c r="Y295" i="2"/>
  <c r="AB295" i="2" s="1"/>
  <c r="AA295" i="2" s="1"/>
  <c r="X295" i="2"/>
  <c r="W295" i="2"/>
  <c r="V295" i="2"/>
  <c r="AF294" i="2"/>
  <c r="AD294" i="2"/>
  <c r="AC294" i="2"/>
  <c r="Z294" i="2"/>
  <c r="Y294" i="2"/>
  <c r="AB294" i="2" s="1"/>
  <c r="AA294" i="2" s="1"/>
  <c r="X294" i="2"/>
  <c r="W294" i="2"/>
  <c r="V294" i="2"/>
  <c r="AF293" i="2"/>
  <c r="AD293" i="2"/>
  <c r="AC293" i="2"/>
  <c r="Z293" i="2"/>
  <c r="Y293" i="2"/>
  <c r="AB293" i="2" s="1"/>
  <c r="AA293" i="2" s="1"/>
  <c r="X293" i="2"/>
  <c r="W293" i="2"/>
  <c r="V293" i="2"/>
  <c r="AF292" i="2"/>
  <c r="AD292" i="2"/>
  <c r="AC292" i="2"/>
  <c r="Z292" i="2"/>
  <c r="Y292" i="2"/>
  <c r="AB292" i="2" s="1"/>
  <c r="AA292" i="2" s="1"/>
  <c r="X292" i="2"/>
  <c r="W292" i="2"/>
  <c r="V292" i="2"/>
  <c r="AF291" i="2"/>
  <c r="AD291" i="2"/>
  <c r="AC291" i="2"/>
  <c r="Z291" i="2"/>
  <c r="Y291" i="2"/>
  <c r="AB291" i="2" s="1"/>
  <c r="AA291" i="2" s="1"/>
  <c r="X291" i="2"/>
  <c r="W291" i="2"/>
  <c r="V291" i="2"/>
  <c r="AF290" i="2"/>
  <c r="AD290" i="2"/>
  <c r="AC290" i="2"/>
  <c r="Z290" i="2"/>
  <c r="Y290" i="2"/>
  <c r="AB290" i="2" s="1"/>
  <c r="AA290" i="2" s="1"/>
  <c r="X290" i="2"/>
  <c r="W290" i="2"/>
  <c r="V290" i="2"/>
  <c r="AF289" i="2"/>
  <c r="AD289" i="2"/>
  <c r="AC289" i="2"/>
  <c r="Z289" i="2"/>
  <c r="Y289" i="2"/>
  <c r="AB289" i="2" s="1"/>
  <c r="AA289" i="2" s="1"/>
  <c r="X289" i="2"/>
  <c r="W289" i="2"/>
  <c r="V289" i="2"/>
  <c r="AF288" i="2"/>
  <c r="AD288" i="2"/>
  <c r="AC288" i="2"/>
  <c r="Z288" i="2"/>
  <c r="Y288" i="2"/>
  <c r="AB288" i="2" s="1"/>
  <c r="AA288" i="2" s="1"/>
  <c r="X288" i="2"/>
  <c r="W288" i="2"/>
  <c r="V288" i="2"/>
  <c r="AF287" i="2"/>
  <c r="AD287" i="2"/>
  <c r="AC287" i="2"/>
  <c r="Z287" i="2"/>
  <c r="Y287" i="2"/>
  <c r="AB287" i="2" s="1"/>
  <c r="AA287" i="2" s="1"/>
  <c r="X287" i="2"/>
  <c r="W287" i="2"/>
  <c r="V287" i="2"/>
  <c r="AF286" i="2"/>
  <c r="AD286" i="2"/>
  <c r="AC286" i="2"/>
  <c r="Z286" i="2"/>
  <c r="Y286" i="2"/>
  <c r="AB286" i="2" s="1"/>
  <c r="AA286" i="2" s="1"/>
  <c r="X286" i="2"/>
  <c r="W286" i="2"/>
  <c r="V286" i="2"/>
  <c r="AF285" i="2"/>
  <c r="AD285" i="2"/>
  <c r="AC285" i="2"/>
  <c r="Z285" i="2"/>
  <c r="Y285" i="2"/>
  <c r="AB285" i="2" s="1"/>
  <c r="AA285" i="2" s="1"/>
  <c r="X285" i="2"/>
  <c r="W285" i="2"/>
  <c r="V285" i="2"/>
  <c r="AF284" i="2"/>
  <c r="AD284" i="2"/>
  <c r="AC284" i="2"/>
  <c r="Z284" i="2"/>
  <c r="Y284" i="2"/>
  <c r="AB284" i="2" s="1"/>
  <c r="AA284" i="2" s="1"/>
  <c r="X284" i="2"/>
  <c r="W284" i="2"/>
  <c r="V284" i="2"/>
  <c r="AF283" i="2"/>
  <c r="AD283" i="2"/>
  <c r="AC283" i="2"/>
  <c r="Z283" i="2"/>
  <c r="Y283" i="2"/>
  <c r="AB283" i="2" s="1"/>
  <c r="AA283" i="2" s="1"/>
  <c r="X283" i="2"/>
  <c r="W283" i="2"/>
  <c r="V283" i="2"/>
  <c r="AF282" i="2"/>
  <c r="AD282" i="2"/>
  <c r="AC282" i="2"/>
  <c r="Z282" i="2"/>
  <c r="Y282" i="2"/>
  <c r="AB282" i="2" s="1"/>
  <c r="AA282" i="2" s="1"/>
  <c r="X282" i="2"/>
  <c r="W282" i="2"/>
  <c r="V282" i="2"/>
  <c r="AF281" i="2"/>
  <c r="AD281" i="2"/>
  <c r="AC281" i="2"/>
  <c r="Z281" i="2"/>
  <c r="Y281" i="2"/>
  <c r="AB281" i="2" s="1"/>
  <c r="AA281" i="2" s="1"/>
  <c r="X281" i="2"/>
  <c r="W281" i="2"/>
  <c r="V281" i="2"/>
  <c r="AF280" i="2"/>
  <c r="AD280" i="2"/>
  <c r="AC280" i="2"/>
  <c r="Z280" i="2"/>
  <c r="Y280" i="2"/>
  <c r="AB280" i="2" s="1"/>
  <c r="AA280" i="2" s="1"/>
  <c r="X280" i="2"/>
  <c r="W280" i="2"/>
  <c r="V280" i="2"/>
  <c r="AF279" i="2"/>
  <c r="AD279" i="2"/>
  <c r="AC279" i="2"/>
  <c r="Z279" i="2"/>
  <c r="Y279" i="2"/>
  <c r="AB279" i="2" s="1"/>
  <c r="AA279" i="2" s="1"/>
  <c r="X279" i="2"/>
  <c r="W279" i="2"/>
  <c r="V279" i="2"/>
  <c r="AF278" i="2"/>
  <c r="AD278" i="2"/>
  <c r="AC278" i="2"/>
  <c r="Z278" i="2"/>
  <c r="Y278" i="2"/>
  <c r="AB278" i="2" s="1"/>
  <c r="AA278" i="2" s="1"/>
  <c r="X278" i="2"/>
  <c r="W278" i="2"/>
  <c r="V278" i="2"/>
  <c r="AF277" i="2"/>
  <c r="AD277" i="2"/>
  <c r="AC277" i="2"/>
  <c r="Z277" i="2"/>
  <c r="Y277" i="2"/>
  <c r="AB277" i="2" s="1"/>
  <c r="AA277" i="2" s="1"/>
  <c r="X277" i="2"/>
  <c r="W277" i="2"/>
  <c r="V277" i="2"/>
  <c r="AF276" i="2"/>
  <c r="AD276" i="2"/>
  <c r="AC276" i="2"/>
  <c r="Z276" i="2"/>
  <c r="Y276" i="2"/>
  <c r="AB276" i="2" s="1"/>
  <c r="AA276" i="2" s="1"/>
  <c r="X276" i="2"/>
  <c r="W276" i="2"/>
  <c r="V276" i="2"/>
  <c r="AF275" i="2"/>
  <c r="AD275" i="2"/>
  <c r="AC275" i="2"/>
  <c r="Z275" i="2"/>
  <c r="Y275" i="2"/>
  <c r="AB275" i="2" s="1"/>
  <c r="AA275" i="2" s="1"/>
  <c r="X275" i="2"/>
  <c r="W275" i="2"/>
  <c r="V275" i="2"/>
  <c r="AF274" i="2"/>
  <c r="AD274" i="2"/>
  <c r="AC274" i="2"/>
  <c r="Z274" i="2"/>
  <c r="Y274" i="2"/>
  <c r="AB274" i="2" s="1"/>
  <c r="AA274" i="2" s="1"/>
  <c r="X274" i="2"/>
  <c r="W274" i="2"/>
  <c r="V274" i="2"/>
  <c r="AF273" i="2"/>
  <c r="AD273" i="2"/>
  <c r="AC273" i="2"/>
  <c r="Z273" i="2"/>
  <c r="Y273" i="2"/>
  <c r="AB273" i="2" s="1"/>
  <c r="AA273" i="2" s="1"/>
  <c r="X273" i="2"/>
  <c r="W273" i="2"/>
  <c r="V273" i="2"/>
  <c r="AF272" i="2"/>
  <c r="AD272" i="2"/>
  <c r="AC272" i="2"/>
  <c r="Z272" i="2"/>
  <c r="Y272" i="2"/>
  <c r="AB272" i="2" s="1"/>
  <c r="AA272" i="2" s="1"/>
  <c r="X272" i="2"/>
  <c r="W272" i="2"/>
  <c r="V272" i="2"/>
  <c r="AF271" i="2"/>
  <c r="AD271" i="2"/>
  <c r="AC271" i="2"/>
  <c r="Z271" i="2"/>
  <c r="Y271" i="2"/>
  <c r="AB271" i="2" s="1"/>
  <c r="AA271" i="2" s="1"/>
  <c r="X271" i="2"/>
  <c r="W271" i="2"/>
  <c r="V271" i="2"/>
  <c r="AF270" i="2"/>
  <c r="AD270" i="2"/>
  <c r="AC270" i="2"/>
  <c r="Z270" i="2"/>
  <c r="Y270" i="2"/>
  <c r="AB270" i="2" s="1"/>
  <c r="AA270" i="2" s="1"/>
  <c r="X270" i="2"/>
  <c r="W270" i="2"/>
  <c r="V270" i="2"/>
  <c r="AF269" i="2"/>
  <c r="AD269" i="2"/>
  <c r="AC269" i="2"/>
  <c r="Z269" i="2"/>
  <c r="Y269" i="2"/>
  <c r="AB269" i="2" s="1"/>
  <c r="AA269" i="2" s="1"/>
  <c r="X269" i="2"/>
  <c r="W269" i="2"/>
  <c r="V269" i="2"/>
  <c r="AF268" i="2"/>
  <c r="AD268" i="2"/>
  <c r="AC268" i="2"/>
  <c r="Z268" i="2"/>
  <c r="Y268" i="2"/>
  <c r="AB268" i="2" s="1"/>
  <c r="AA268" i="2" s="1"/>
  <c r="X268" i="2"/>
  <c r="W268" i="2"/>
  <c r="V268" i="2"/>
  <c r="AF267" i="2"/>
  <c r="AD267" i="2"/>
  <c r="AC267" i="2"/>
  <c r="Z267" i="2"/>
  <c r="Y267" i="2"/>
  <c r="AB267" i="2" s="1"/>
  <c r="AA267" i="2" s="1"/>
  <c r="X267" i="2"/>
  <c r="W267" i="2"/>
  <c r="V267" i="2"/>
  <c r="AF266" i="2"/>
  <c r="AD266" i="2"/>
  <c r="AC266" i="2"/>
  <c r="Z266" i="2"/>
  <c r="Y266" i="2"/>
  <c r="AB266" i="2" s="1"/>
  <c r="AA266" i="2" s="1"/>
  <c r="X266" i="2"/>
  <c r="W266" i="2"/>
  <c r="V266" i="2"/>
  <c r="AF265" i="2"/>
  <c r="AD265" i="2"/>
  <c r="AC265" i="2"/>
  <c r="Z265" i="2"/>
  <c r="Y265" i="2"/>
  <c r="AB265" i="2" s="1"/>
  <c r="AA265" i="2" s="1"/>
  <c r="X265" i="2"/>
  <c r="W265" i="2"/>
  <c r="V265" i="2"/>
  <c r="AF264" i="2"/>
  <c r="AD264" i="2"/>
  <c r="AC264" i="2"/>
  <c r="Z264" i="2"/>
  <c r="Y264" i="2"/>
  <c r="AB264" i="2" s="1"/>
  <c r="AA264" i="2" s="1"/>
  <c r="X264" i="2"/>
  <c r="W264" i="2"/>
  <c r="V264" i="2"/>
  <c r="AF263" i="2"/>
  <c r="AD263" i="2"/>
  <c r="AC263" i="2"/>
  <c r="Z263" i="2"/>
  <c r="Y263" i="2"/>
  <c r="AB263" i="2" s="1"/>
  <c r="AA263" i="2" s="1"/>
  <c r="X263" i="2"/>
  <c r="W263" i="2"/>
  <c r="V263" i="2"/>
  <c r="AF262" i="2"/>
  <c r="AD262" i="2"/>
  <c r="AC262" i="2"/>
  <c r="Z262" i="2"/>
  <c r="Y262" i="2"/>
  <c r="AB262" i="2" s="1"/>
  <c r="AA262" i="2" s="1"/>
  <c r="X262" i="2"/>
  <c r="W262" i="2"/>
  <c r="V262" i="2"/>
  <c r="AF261" i="2"/>
  <c r="AD261" i="2"/>
  <c r="AC261" i="2"/>
  <c r="Z261" i="2"/>
  <c r="Y261" i="2"/>
  <c r="AB261" i="2" s="1"/>
  <c r="AA261" i="2" s="1"/>
  <c r="X261" i="2"/>
  <c r="W261" i="2"/>
  <c r="V261" i="2"/>
  <c r="AF260" i="2"/>
  <c r="AD260" i="2"/>
  <c r="AC260" i="2"/>
  <c r="Z260" i="2"/>
  <c r="Y260" i="2"/>
  <c r="AB260" i="2" s="1"/>
  <c r="AA260" i="2" s="1"/>
  <c r="X260" i="2"/>
  <c r="W260" i="2"/>
  <c r="V260" i="2"/>
  <c r="AF259" i="2"/>
  <c r="AD259" i="2"/>
  <c r="AC259" i="2"/>
  <c r="Z259" i="2"/>
  <c r="Y259" i="2"/>
  <c r="AB259" i="2" s="1"/>
  <c r="AA259" i="2" s="1"/>
  <c r="X259" i="2"/>
  <c r="W259" i="2"/>
  <c r="V259" i="2"/>
  <c r="AF258" i="2"/>
  <c r="AD258" i="2"/>
  <c r="AC258" i="2"/>
  <c r="Z258" i="2"/>
  <c r="Y258" i="2"/>
  <c r="AB258" i="2" s="1"/>
  <c r="AA258" i="2" s="1"/>
  <c r="X258" i="2"/>
  <c r="W258" i="2"/>
  <c r="V258" i="2"/>
  <c r="AF257" i="2"/>
  <c r="AD257" i="2"/>
  <c r="AC257" i="2"/>
  <c r="Z257" i="2"/>
  <c r="Y257" i="2"/>
  <c r="AB257" i="2" s="1"/>
  <c r="AA257" i="2" s="1"/>
  <c r="X257" i="2"/>
  <c r="W257" i="2"/>
  <c r="V257" i="2"/>
  <c r="AF256" i="2"/>
  <c r="AD256" i="2"/>
  <c r="AC256" i="2"/>
  <c r="Z256" i="2"/>
  <c r="Y256" i="2"/>
  <c r="AB256" i="2" s="1"/>
  <c r="AA256" i="2" s="1"/>
  <c r="X256" i="2"/>
  <c r="W256" i="2"/>
  <c r="V256" i="2"/>
  <c r="AF255" i="2"/>
  <c r="AD255" i="2"/>
  <c r="AC255" i="2"/>
  <c r="Z255" i="2"/>
  <c r="Y255" i="2"/>
  <c r="AB255" i="2" s="1"/>
  <c r="AA255" i="2" s="1"/>
  <c r="X255" i="2"/>
  <c r="W255" i="2"/>
  <c r="V255" i="2"/>
  <c r="AF254" i="2"/>
  <c r="AD254" i="2"/>
  <c r="AC254" i="2"/>
  <c r="Z254" i="2"/>
  <c r="Y254" i="2"/>
  <c r="AB254" i="2" s="1"/>
  <c r="AA254" i="2" s="1"/>
  <c r="X254" i="2"/>
  <c r="W254" i="2"/>
  <c r="V254" i="2"/>
  <c r="AF253" i="2"/>
  <c r="AD253" i="2"/>
  <c r="AC253" i="2"/>
  <c r="Z253" i="2"/>
  <c r="Y253" i="2"/>
  <c r="AB253" i="2" s="1"/>
  <c r="AA253" i="2" s="1"/>
  <c r="X253" i="2"/>
  <c r="W253" i="2"/>
  <c r="V253" i="2"/>
  <c r="AF252" i="2"/>
  <c r="AD252" i="2"/>
  <c r="AC252" i="2"/>
  <c r="Z252" i="2"/>
  <c r="Y252" i="2"/>
  <c r="AB252" i="2" s="1"/>
  <c r="AA252" i="2" s="1"/>
  <c r="X252" i="2"/>
  <c r="W252" i="2"/>
  <c r="V252" i="2"/>
  <c r="AF251" i="2"/>
  <c r="AD251" i="2"/>
  <c r="AC251" i="2"/>
  <c r="Z251" i="2"/>
  <c r="Y251" i="2"/>
  <c r="AB251" i="2" s="1"/>
  <c r="AA251" i="2" s="1"/>
  <c r="X251" i="2"/>
  <c r="W251" i="2"/>
  <c r="V251" i="2"/>
  <c r="AF250" i="2"/>
  <c r="AD250" i="2"/>
  <c r="AC250" i="2"/>
  <c r="Z250" i="2"/>
  <c r="Y250" i="2"/>
  <c r="AB250" i="2" s="1"/>
  <c r="AA250" i="2" s="1"/>
  <c r="X250" i="2"/>
  <c r="W250" i="2"/>
  <c r="V250" i="2"/>
  <c r="AF249" i="2"/>
  <c r="AD249" i="2"/>
  <c r="AC249" i="2"/>
  <c r="Z249" i="2"/>
  <c r="Y249" i="2"/>
  <c r="AB249" i="2" s="1"/>
  <c r="AA249" i="2" s="1"/>
  <c r="X249" i="2"/>
  <c r="W249" i="2"/>
  <c r="V249" i="2"/>
  <c r="AF248" i="2"/>
  <c r="AD248" i="2"/>
  <c r="AC248" i="2"/>
  <c r="Z248" i="2"/>
  <c r="Y248" i="2"/>
  <c r="AB248" i="2" s="1"/>
  <c r="AA248" i="2" s="1"/>
  <c r="X248" i="2"/>
  <c r="W248" i="2"/>
  <c r="V248" i="2"/>
  <c r="AF247" i="2"/>
  <c r="AD247" i="2"/>
  <c r="AC247" i="2"/>
  <c r="Z247" i="2"/>
  <c r="Y247" i="2"/>
  <c r="AB247" i="2" s="1"/>
  <c r="AA247" i="2" s="1"/>
  <c r="X247" i="2"/>
  <c r="W247" i="2"/>
  <c r="V247" i="2"/>
  <c r="AF246" i="2"/>
  <c r="AD246" i="2"/>
  <c r="AC246" i="2"/>
  <c r="Z246" i="2"/>
  <c r="Y246" i="2"/>
  <c r="AB246" i="2" s="1"/>
  <c r="AA246" i="2" s="1"/>
  <c r="X246" i="2"/>
  <c r="W246" i="2"/>
  <c r="V246" i="2"/>
  <c r="AF245" i="2"/>
  <c r="AD245" i="2"/>
  <c r="AC245" i="2"/>
  <c r="Z245" i="2"/>
  <c r="Y245" i="2"/>
  <c r="AB245" i="2" s="1"/>
  <c r="AA245" i="2" s="1"/>
  <c r="X245" i="2"/>
  <c r="W245" i="2"/>
  <c r="V245" i="2"/>
  <c r="AF244" i="2"/>
  <c r="AD244" i="2"/>
  <c r="AC244" i="2"/>
  <c r="Z244" i="2"/>
  <c r="Y244" i="2"/>
  <c r="AB244" i="2" s="1"/>
  <c r="AA244" i="2" s="1"/>
  <c r="X244" i="2"/>
  <c r="W244" i="2"/>
  <c r="V244" i="2"/>
  <c r="AF243" i="2"/>
  <c r="AD243" i="2"/>
  <c r="AC243" i="2"/>
  <c r="Z243" i="2"/>
  <c r="Y243" i="2"/>
  <c r="AB243" i="2" s="1"/>
  <c r="AA243" i="2" s="1"/>
  <c r="X243" i="2"/>
  <c r="W243" i="2"/>
  <c r="V243" i="2"/>
  <c r="AF242" i="2"/>
  <c r="AD242" i="2"/>
  <c r="AC242" i="2"/>
  <c r="Z242" i="2"/>
  <c r="Y242" i="2"/>
  <c r="AB242" i="2" s="1"/>
  <c r="AA242" i="2" s="1"/>
  <c r="X242" i="2"/>
  <c r="W242" i="2"/>
  <c r="V242" i="2"/>
  <c r="AF241" i="2"/>
  <c r="AD241" i="2"/>
  <c r="AC241" i="2"/>
  <c r="Z241" i="2"/>
  <c r="Y241" i="2"/>
  <c r="AB241" i="2" s="1"/>
  <c r="AA241" i="2" s="1"/>
  <c r="X241" i="2"/>
  <c r="W241" i="2"/>
  <c r="V241" i="2"/>
  <c r="AF240" i="2"/>
  <c r="AD240" i="2"/>
  <c r="AC240" i="2"/>
  <c r="Z240" i="2"/>
  <c r="Y240" i="2"/>
  <c r="AB240" i="2" s="1"/>
  <c r="AA240" i="2" s="1"/>
  <c r="X240" i="2"/>
  <c r="W240" i="2"/>
  <c r="V240" i="2"/>
  <c r="AF239" i="2"/>
  <c r="AD239" i="2"/>
  <c r="AC239" i="2"/>
  <c r="Z239" i="2"/>
  <c r="Y239" i="2"/>
  <c r="AB239" i="2" s="1"/>
  <c r="AA239" i="2" s="1"/>
  <c r="X239" i="2"/>
  <c r="W239" i="2"/>
  <c r="V239" i="2"/>
  <c r="AF238" i="2"/>
  <c r="AD238" i="2"/>
  <c r="AC238" i="2"/>
  <c r="Z238" i="2"/>
  <c r="Y238" i="2"/>
  <c r="AB238" i="2" s="1"/>
  <c r="AA238" i="2" s="1"/>
  <c r="X238" i="2"/>
  <c r="W238" i="2"/>
  <c r="V238" i="2"/>
  <c r="AF237" i="2"/>
  <c r="AD237" i="2"/>
  <c r="AC237" i="2"/>
  <c r="Z237" i="2"/>
  <c r="Y237" i="2"/>
  <c r="AB237" i="2" s="1"/>
  <c r="AA237" i="2" s="1"/>
  <c r="X237" i="2"/>
  <c r="W237" i="2"/>
  <c r="V237" i="2"/>
  <c r="AF236" i="2"/>
  <c r="AD236" i="2"/>
  <c r="AC236" i="2"/>
  <c r="Z236" i="2"/>
  <c r="Y236" i="2"/>
  <c r="AB236" i="2" s="1"/>
  <c r="AA236" i="2" s="1"/>
  <c r="X236" i="2"/>
  <c r="W236" i="2"/>
  <c r="V236" i="2"/>
  <c r="AF235" i="2"/>
  <c r="AD235" i="2"/>
  <c r="AC235" i="2"/>
  <c r="Z235" i="2"/>
  <c r="Y235" i="2"/>
  <c r="AB235" i="2" s="1"/>
  <c r="AA235" i="2" s="1"/>
  <c r="X235" i="2"/>
  <c r="W235" i="2"/>
  <c r="V235" i="2"/>
  <c r="AF234" i="2"/>
  <c r="AD234" i="2"/>
  <c r="AC234" i="2"/>
  <c r="Z234" i="2"/>
  <c r="Y234" i="2"/>
  <c r="AB234" i="2" s="1"/>
  <c r="AA234" i="2" s="1"/>
  <c r="X234" i="2"/>
  <c r="W234" i="2"/>
  <c r="V234" i="2"/>
  <c r="AF233" i="2"/>
  <c r="AD233" i="2"/>
  <c r="AC233" i="2"/>
  <c r="Z233" i="2"/>
  <c r="Y233" i="2"/>
  <c r="AB233" i="2" s="1"/>
  <c r="AA233" i="2" s="1"/>
  <c r="X233" i="2"/>
  <c r="W233" i="2"/>
  <c r="V233" i="2"/>
  <c r="AF232" i="2"/>
  <c r="AD232" i="2"/>
  <c r="AC232" i="2"/>
  <c r="Z232" i="2"/>
  <c r="Y232" i="2"/>
  <c r="AB232" i="2" s="1"/>
  <c r="AA232" i="2" s="1"/>
  <c r="X232" i="2"/>
  <c r="W232" i="2"/>
  <c r="V232" i="2"/>
  <c r="AF231" i="2"/>
  <c r="AD231" i="2"/>
  <c r="AC231" i="2"/>
  <c r="Z231" i="2"/>
  <c r="Y231" i="2"/>
  <c r="AB231" i="2" s="1"/>
  <c r="AA231" i="2" s="1"/>
  <c r="X231" i="2"/>
  <c r="W231" i="2"/>
  <c r="V231" i="2"/>
  <c r="AF230" i="2"/>
  <c r="AD230" i="2"/>
  <c r="AC230" i="2"/>
  <c r="Z230" i="2"/>
  <c r="Y230" i="2"/>
  <c r="AB230" i="2" s="1"/>
  <c r="AA230" i="2" s="1"/>
  <c r="X230" i="2"/>
  <c r="W230" i="2"/>
  <c r="V230" i="2"/>
  <c r="AF229" i="2"/>
  <c r="AD229" i="2"/>
  <c r="AC229" i="2"/>
  <c r="Z229" i="2"/>
  <c r="Y229" i="2"/>
  <c r="AB229" i="2" s="1"/>
  <c r="AA229" i="2" s="1"/>
  <c r="X229" i="2"/>
  <c r="W229" i="2"/>
  <c r="V229" i="2"/>
  <c r="AF228" i="2"/>
  <c r="AD228" i="2"/>
  <c r="AC228" i="2"/>
  <c r="Z228" i="2"/>
  <c r="Y228" i="2"/>
  <c r="AB228" i="2" s="1"/>
  <c r="AA228" i="2" s="1"/>
  <c r="X228" i="2"/>
  <c r="W228" i="2"/>
  <c r="V228" i="2"/>
  <c r="AF227" i="2"/>
  <c r="AD227" i="2"/>
  <c r="AC227" i="2"/>
  <c r="Z227" i="2"/>
  <c r="Y227" i="2"/>
  <c r="AB227" i="2" s="1"/>
  <c r="AA227" i="2" s="1"/>
  <c r="X227" i="2"/>
  <c r="W227" i="2"/>
  <c r="V227" i="2"/>
  <c r="AF226" i="2"/>
  <c r="AD226" i="2"/>
  <c r="AC226" i="2"/>
  <c r="Z226" i="2"/>
  <c r="Y226" i="2"/>
  <c r="AB226" i="2" s="1"/>
  <c r="AA226" i="2" s="1"/>
  <c r="X226" i="2"/>
  <c r="W226" i="2"/>
  <c r="V226" i="2"/>
  <c r="AF225" i="2"/>
  <c r="AD225" i="2"/>
  <c r="AC225" i="2"/>
  <c r="Z225" i="2"/>
  <c r="Y225" i="2"/>
  <c r="AB225" i="2" s="1"/>
  <c r="AA225" i="2" s="1"/>
  <c r="X225" i="2"/>
  <c r="W225" i="2"/>
  <c r="V225" i="2"/>
  <c r="AF224" i="2"/>
  <c r="AD224" i="2"/>
  <c r="AC224" i="2"/>
  <c r="Z224" i="2"/>
  <c r="Y224" i="2"/>
  <c r="AB224" i="2" s="1"/>
  <c r="AA224" i="2" s="1"/>
  <c r="X224" i="2"/>
  <c r="W224" i="2"/>
  <c r="V224" i="2"/>
  <c r="AF223" i="2"/>
  <c r="AD223" i="2"/>
  <c r="AC223" i="2"/>
  <c r="Z223" i="2"/>
  <c r="Y223" i="2"/>
  <c r="AB223" i="2" s="1"/>
  <c r="AA223" i="2" s="1"/>
  <c r="X223" i="2"/>
  <c r="W223" i="2"/>
  <c r="V223" i="2"/>
  <c r="AF222" i="2"/>
  <c r="AD222" i="2"/>
  <c r="AC222" i="2"/>
  <c r="Z222" i="2"/>
  <c r="Y222" i="2"/>
  <c r="AB222" i="2" s="1"/>
  <c r="AA222" i="2" s="1"/>
  <c r="X222" i="2"/>
  <c r="W222" i="2"/>
  <c r="V222" i="2"/>
  <c r="AF221" i="2"/>
  <c r="AD221" i="2"/>
  <c r="AC221" i="2"/>
  <c r="Z221" i="2"/>
  <c r="Y221" i="2"/>
  <c r="AB221" i="2" s="1"/>
  <c r="AA221" i="2" s="1"/>
  <c r="X221" i="2"/>
  <c r="W221" i="2"/>
  <c r="V221" i="2"/>
  <c r="AF220" i="2"/>
  <c r="AD220" i="2"/>
  <c r="AC220" i="2"/>
  <c r="Z220" i="2"/>
  <c r="Y220" i="2"/>
  <c r="AB220" i="2" s="1"/>
  <c r="AA220" i="2" s="1"/>
  <c r="X220" i="2"/>
  <c r="W220" i="2"/>
  <c r="V220" i="2"/>
  <c r="AF219" i="2"/>
  <c r="AD219" i="2"/>
  <c r="AC219" i="2"/>
  <c r="Z219" i="2"/>
  <c r="Y219" i="2"/>
  <c r="AB219" i="2" s="1"/>
  <c r="AA219" i="2" s="1"/>
  <c r="X219" i="2"/>
  <c r="W219" i="2"/>
  <c r="V219" i="2"/>
  <c r="AF218" i="2"/>
  <c r="AD218" i="2"/>
  <c r="AC218" i="2"/>
  <c r="Z218" i="2"/>
  <c r="Y218" i="2"/>
  <c r="AB218" i="2" s="1"/>
  <c r="AA218" i="2" s="1"/>
  <c r="X218" i="2"/>
  <c r="W218" i="2"/>
  <c r="V218" i="2"/>
  <c r="AF217" i="2"/>
  <c r="AD217" i="2"/>
  <c r="AC217" i="2"/>
  <c r="Z217" i="2"/>
  <c r="Y217" i="2"/>
  <c r="AB217" i="2" s="1"/>
  <c r="AA217" i="2" s="1"/>
  <c r="X217" i="2"/>
  <c r="W217" i="2"/>
  <c r="V217" i="2"/>
  <c r="AF216" i="2"/>
  <c r="AD216" i="2"/>
  <c r="AC216" i="2"/>
  <c r="Z216" i="2"/>
  <c r="Y216" i="2"/>
  <c r="AB216" i="2" s="1"/>
  <c r="AA216" i="2" s="1"/>
  <c r="X216" i="2"/>
  <c r="W216" i="2"/>
  <c r="V216" i="2"/>
  <c r="AF215" i="2"/>
  <c r="AD215" i="2"/>
  <c r="AC215" i="2"/>
  <c r="Z215" i="2"/>
  <c r="Y215" i="2"/>
  <c r="AB215" i="2" s="1"/>
  <c r="AA215" i="2" s="1"/>
  <c r="X215" i="2"/>
  <c r="W215" i="2"/>
  <c r="V215" i="2"/>
  <c r="AF214" i="2"/>
  <c r="AD214" i="2"/>
  <c r="AC214" i="2"/>
  <c r="Z214" i="2"/>
  <c r="Y214" i="2"/>
  <c r="AB214" i="2" s="1"/>
  <c r="AA214" i="2" s="1"/>
  <c r="X214" i="2"/>
  <c r="W214" i="2"/>
  <c r="V214" i="2"/>
  <c r="AF213" i="2"/>
  <c r="AD213" i="2"/>
  <c r="AC213" i="2"/>
  <c r="Z213" i="2"/>
  <c r="Y213" i="2"/>
  <c r="AB213" i="2" s="1"/>
  <c r="AA213" i="2" s="1"/>
  <c r="X213" i="2"/>
  <c r="W213" i="2"/>
  <c r="V213" i="2"/>
  <c r="AF212" i="2"/>
  <c r="AD212" i="2"/>
  <c r="AC212" i="2"/>
  <c r="Z212" i="2"/>
  <c r="Y212" i="2"/>
  <c r="AB212" i="2" s="1"/>
  <c r="AA212" i="2" s="1"/>
  <c r="X212" i="2"/>
  <c r="W212" i="2"/>
  <c r="V212" i="2"/>
  <c r="AF211" i="2"/>
  <c r="AD211" i="2"/>
  <c r="AC211" i="2"/>
  <c r="Z211" i="2"/>
  <c r="Y211" i="2"/>
  <c r="AB211" i="2" s="1"/>
  <c r="AA211" i="2" s="1"/>
  <c r="X211" i="2"/>
  <c r="W211" i="2"/>
  <c r="V211" i="2"/>
  <c r="AF210" i="2"/>
  <c r="AD210" i="2"/>
  <c r="AC210" i="2"/>
  <c r="Z210" i="2"/>
  <c r="Y210" i="2"/>
  <c r="AB210" i="2" s="1"/>
  <c r="AA210" i="2" s="1"/>
  <c r="X210" i="2"/>
  <c r="W210" i="2"/>
  <c r="V210" i="2"/>
  <c r="AF209" i="2"/>
  <c r="AD209" i="2"/>
  <c r="AC209" i="2"/>
  <c r="Z209" i="2"/>
  <c r="Y209" i="2"/>
  <c r="AB209" i="2" s="1"/>
  <c r="AA209" i="2" s="1"/>
  <c r="X209" i="2"/>
  <c r="W209" i="2"/>
  <c r="V209" i="2"/>
  <c r="AF208" i="2"/>
  <c r="AD208" i="2"/>
  <c r="AC208" i="2"/>
  <c r="Z208" i="2"/>
  <c r="Y208" i="2"/>
  <c r="AB208" i="2" s="1"/>
  <c r="AA208" i="2" s="1"/>
  <c r="X208" i="2"/>
  <c r="W208" i="2"/>
  <c r="V208" i="2"/>
  <c r="AF207" i="2"/>
  <c r="AD207" i="2"/>
  <c r="AC207" i="2"/>
  <c r="Z207" i="2"/>
  <c r="Y207" i="2"/>
  <c r="AB207" i="2" s="1"/>
  <c r="AA207" i="2" s="1"/>
  <c r="X207" i="2"/>
  <c r="W207" i="2"/>
  <c r="V207" i="2"/>
  <c r="AF206" i="2"/>
  <c r="AD206" i="2"/>
  <c r="AC206" i="2"/>
  <c r="Z206" i="2"/>
  <c r="Y206" i="2"/>
  <c r="AB206" i="2" s="1"/>
  <c r="AA206" i="2" s="1"/>
  <c r="X206" i="2"/>
  <c r="W206" i="2"/>
  <c r="V206" i="2"/>
  <c r="AF205" i="2"/>
  <c r="AD205" i="2"/>
  <c r="AC205" i="2"/>
  <c r="Z205" i="2"/>
  <c r="Y205" i="2"/>
  <c r="AB205" i="2" s="1"/>
  <c r="AA205" i="2" s="1"/>
  <c r="X205" i="2"/>
  <c r="W205" i="2"/>
  <c r="V205" i="2"/>
  <c r="AF204" i="2"/>
  <c r="AD204" i="2"/>
  <c r="AC204" i="2"/>
  <c r="Z204" i="2"/>
  <c r="Y204" i="2"/>
  <c r="AB204" i="2" s="1"/>
  <c r="AA204" i="2" s="1"/>
  <c r="X204" i="2"/>
  <c r="W204" i="2"/>
  <c r="V204" i="2"/>
  <c r="AF203" i="2"/>
  <c r="AD203" i="2"/>
  <c r="AC203" i="2"/>
  <c r="Z203" i="2"/>
  <c r="Y203" i="2"/>
  <c r="AB203" i="2" s="1"/>
  <c r="AA203" i="2" s="1"/>
  <c r="X203" i="2"/>
  <c r="W203" i="2"/>
  <c r="V203" i="2"/>
  <c r="AF202" i="2"/>
  <c r="AD202" i="2"/>
  <c r="AC202" i="2"/>
  <c r="Z202" i="2"/>
  <c r="Y202" i="2"/>
  <c r="AB202" i="2" s="1"/>
  <c r="AA202" i="2" s="1"/>
  <c r="X202" i="2"/>
  <c r="W202" i="2"/>
  <c r="V202" i="2"/>
  <c r="AF201" i="2"/>
  <c r="AD201" i="2"/>
  <c r="AC201" i="2"/>
  <c r="Z201" i="2"/>
  <c r="Y201" i="2"/>
  <c r="AB201" i="2" s="1"/>
  <c r="AA201" i="2" s="1"/>
  <c r="X201" i="2"/>
  <c r="W201" i="2"/>
  <c r="V201" i="2"/>
  <c r="AF200" i="2"/>
  <c r="AD200" i="2"/>
  <c r="AC200" i="2"/>
  <c r="Z200" i="2"/>
  <c r="Y200" i="2"/>
  <c r="AB200" i="2" s="1"/>
  <c r="AA200" i="2" s="1"/>
  <c r="X200" i="2"/>
  <c r="W200" i="2"/>
  <c r="V200" i="2"/>
  <c r="AF199" i="2"/>
  <c r="AD199" i="2"/>
  <c r="AC199" i="2"/>
  <c r="Z199" i="2"/>
  <c r="Y199" i="2"/>
  <c r="AB199" i="2" s="1"/>
  <c r="AA199" i="2" s="1"/>
  <c r="X199" i="2"/>
  <c r="W199" i="2"/>
  <c r="V199" i="2"/>
  <c r="AF198" i="2"/>
  <c r="AD198" i="2"/>
  <c r="AC198" i="2"/>
  <c r="Z198" i="2"/>
  <c r="Y198" i="2"/>
  <c r="AB198" i="2" s="1"/>
  <c r="AA198" i="2" s="1"/>
  <c r="X198" i="2"/>
  <c r="W198" i="2"/>
  <c r="V198" i="2"/>
  <c r="AF197" i="2"/>
  <c r="AD197" i="2"/>
  <c r="AC197" i="2"/>
  <c r="Z197" i="2"/>
  <c r="Y197" i="2"/>
  <c r="AB197" i="2" s="1"/>
  <c r="AA197" i="2" s="1"/>
  <c r="X197" i="2"/>
  <c r="W197" i="2"/>
  <c r="V197" i="2"/>
  <c r="AF196" i="2"/>
  <c r="AD196" i="2"/>
  <c r="AC196" i="2"/>
  <c r="Z196" i="2"/>
  <c r="Y196" i="2"/>
  <c r="AB196" i="2" s="1"/>
  <c r="AA196" i="2" s="1"/>
  <c r="X196" i="2"/>
  <c r="W196" i="2"/>
  <c r="V196" i="2"/>
  <c r="AF195" i="2"/>
  <c r="AD195" i="2"/>
  <c r="AC195" i="2"/>
  <c r="Z195" i="2"/>
  <c r="Y195" i="2"/>
  <c r="AB195" i="2" s="1"/>
  <c r="AA195" i="2" s="1"/>
  <c r="X195" i="2"/>
  <c r="W195" i="2"/>
  <c r="V195" i="2"/>
  <c r="AF194" i="2"/>
  <c r="AD194" i="2"/>
  <c r="AC194" i="2"/>
  <c r="Z194" i="2"/>
  <c r="Y194" i="2"/>
  <c r="AB194" i="2" s="1"/>
  <c r="AA194" i="2" s="1"/>
  <c r="X194" i="2"/>
  <c r="W194" i="2"/>
  <c r="V194" i="2"/>
  <c r="AF193" i="2"/>
  <c r="AD193" i="2"/>
  <c r="AC193" i="2"/>
  <c r="Z193" i="2"/>
  <c r="Y193" i="2"/>
  <c r="AB193" i="2" s="1"/>
  <c r="AA193" i="2" s="1"/>
  <c r="X193" i="2"/>
  <c r="W193" i="2"/>
  <c r="V193" i="2"/>
  <c r="AF192" i="2"/>
  <c r="AD192" i="2"/>
  <c r="AC192" i="2"/>
  <c r="Z192" i="2"/>
  <c r="Y192" i="2"/>
  <c r="AB192" i="2" s="1"/>
  <c r="AA192" i="2" s="1"/>
  <c r="X192" i="2"/>
  <c r="W192" i="2"/>
  <c r="V192" i="2"/>
  <c r="AF191" i="2"/>
  <c r="AD191" i="2"/>
  <c r="AC191" i="2"/>
  <c r="Z191" i="2"/>
  <c r="Y191" i="2"/>
  <c r="AB191" i="2" s="1"/>
  <c r="AA191" i="2" s="1"/>
  <c r="X191" i="2"/>
  <c r="W191" i="2"/>
  <c r="V191" i="2"/>
  <c r="AF190" i="2"/>
  <c r="AD190" i="2"/>
  <c r="AC190" i="2"/>
  <c r="Z190" i="2"/>
  <c r="Y190" i="2"/>
  <c r="AB190" i="2" s="1"/>
  <c r="AA190" i="2" s="1"/>
  <c r="X190" i="2"/>
  <c r="W190" i="2"/>
  <c r="V190" i="2"/>
  <c r="AF189" i="2"/>
  <c r="AD189" i="2"/>
  <c r="AC189" i="2"/>
  <c r="Z189" i="2"/>
  <c r="Y189" i="2"/>
  <c r="AB189" i="2" s="1"/>
  <c r="AA189" i="2" s="1"/>
  <c r="X189" i="2"/>
  <c r="W189" i="2"/>
  <c r="V189" i="2"/>
  <c r="AF188" i="2"/>
  <c r="AD188" i="2"/>
  <c r="AC188" i="2"/>
  <c r="Z188" i="2"/>
  <c r="Y188" i="2"/>
  <c r="AB188" i="2" s="1"/>
  <c r="AA188" i="2" s="1"/>
  <c r="X188" i="2"/>
  <c r="W188" i="2"/>
  <c r="V188" i="2"/>
  <c r="AF187" i="2"/>
  <c r="AD187" i="2"/>
  <c r="AC187" i="2"/>
  <c r="Z187" i="2"/>
  <c r="Y187" i="2"/>
  <c r="AB187" i="2" s="1"/>
  <c r="AA187" i="2" s="1"/>
  <c r="X187" i="2"/>
  <c r="W187" i="2"/>
  <c r="V187" i="2"/>
  <c r="AF186" i="2"/>
  <c r="AD186" i="2"/>
  <c r="AC186" i="2"/>
  <c r="Z186" i="2"/>
  <c r="Y186" i="2"/>
  <c r="AB186" i="2" s="1"/>
  <c r="AA186" i="2" s="1"/>
  <c r="X186" i="2"/>
  <c r="W186" i="2"/>
  <c r="V186" i="2"/>
  <c r="AF185" i="2"/>
  <c r="AD185" i="2"/>
  <c r="AC185" i="2"/>
  <c r="Z185" i="2"/>
  <c r="Y185" i="2"/>
  <c r="AB185" i="2" s="1"/>
  <c r="AA185" i="2" s="1"/>
  <c r="X185" i="2"/>
  <c r="W185" i="2"/>
  <c r="V185" i="2"/>
  <c r="AF184" i="2"/>
  <c r="AD184" i="2"/>
  <c r="AC184" i="2"/>
  <c r="Z184" i="2"/>
  <c r="Y184" i="2"/>
  <c r="AB184" i="2" s="1"/>
  <c r="AA184" i="2" s="1"/>
  <c r="X184" i="2"/>
  <c r="W184" i="2"/>
  <c r="V184" i="2"/>
  <c r="AF183" i="2"/>
  <c r="AD183" i="2"/>
  <c r="AC183" i="2"/>
  <c r="Z183" i="2"/>
  <c r="Y183" i="2"/>
  <c r="AB183" i="2" s="1"/>
  <c r="AA183" i="2" s="1"/>
  <c r="X183" i="2"/>
  <c r="W183" i="2"/>
  <c r="V183" i="2"/>
  <c r="AF182" i="2"/>
  <c r="AD182" i="2"/>
  <c r="AC182" i="2"/>
  <c r="Z182" i="2"/>
  <c r="Y182" i="2"/>
  <c r="AB182" i="2" s="1"/>
  <c r="AA182" i="2" s="1"/>
  <c r="X182" i="2"/>
  <c r="W182" i="2"/>
  <c r="V182" i="2"/>
  <c r="AF181" i="2"/>
  <c r="AD181" i="2"/>
  <c r="AC181" i="2"/>
  <c r="Z181" i="2"/>
  <c r="Y181" i="2"/>
  <c r="AB181" i="2" s="1"/>
  <c r="AA181" i="2" s="1"/>
  <c r="X181" i="2"/>
  <c r="W181" i="2"/>
  <c r="V181" i="2"/>
  <c r="AF180" i="2"/>
  <c r="AD180" i="2"/>
  <c r="AC180" i="2"/>
  <c r="Z180" i="2"/>
  <c r="Y180" i="2"/>
  <c r="AB180" i="2" s="1"/>
  <c r="AA180" i="2" s="1"/>
  <c r="X180" i="2"/>
  <c r="W180" i="2"/>
  <c r="V180" i="2"/>
  <c r="AF179" i="2"/>
  <c r="AD179" i="2"/>
  <c r="AC179" i="2"/>
  <c r="Z179" i="2"/>
  <c r="Y179" i="2"/>
  <c r="AB179" i="2" s="1"/>
  <c r="AA179" i="2" s="1"/>
  <c r="X179" i="2"/>
  <c r="W179" i="2"/>
  <c r="V179" i="2"/>
  <c r="AF178" i="2"/>
  <c r="AD178" i="2"/>
  <c r="AC178" i="2"/>
  <c r="Z178" i="2"/>
  <c r="Y178" i="2"/>
  <c r="AB178" i="2" s="1"/>
  <c r="AA178" i="2" s="1"/>
  <c r="X178" i="2"/>
  <c r="W178" i="2"/>
  <c r="V178" i="2"/>
  <c r="AF177" i="2"/>
  <c r="AD177" i="2"/>
  <c r="AC177" i="2"/>
  <c r="Z177" i="2"/>
  <c r="Y177" i="2"/>
  <c r="AB177" i="2" s="1"/>
  <c r="AA177" i="2" s="1"/>
  <c r="X177" i="2"/>
  <c r="W177" i="2"/>
  <c r="V177" i="2"/>
  <c r="AF176" i="2"/>
  <c r="AD176" i="2"/>
  <c r="AC176" i="2"/>
  <c r="Z176" i="2"/>
  <c r="Y176" i="2"/>
  <c r="AB176" i="2" s="1"/>
  <c r="AA176" i="2" s="1"/>
  <c r="X176" i="2"/>
  <c r="W176" i="2"/>
  <c r="V176" i="2"/>
  <c r="AF175" i="2"/>
  <c r="AD175" i="2"/>
  <c r="AC175" i="2"/>
  <c r="Z175" i="2"/>
  <c r="Y175" i="2"/>
  <c r="AB175" i="2" s="1"/>
  <c r="AA175" i="2" s="1"/>
  <c r="X175" i="2"/>
  <c r="W175" i="2"/>
  <c r="V175" i="2"/>
  <c r="AF174" i="2"/>
  <c r="AD174" i="2"/>
  <c r="AC174" i="2"/>
  <c r="Z174" i="2"/>
  <c r="Y174" i="2"/>
  <c r="AB174" i="2" s="1"/>
  <c r="AA174" i="2" s="1"/>
  <c r="X174" i="2"/>
  <c r="W174" i="2"/>
  <c r="V174" i="2"/>
  <c r="AF173" i="2"/>
  <c r="AD173" i="2"/>
  <c r="AC173" i="2"/>
  <c r="Z173" i="2"/>
  <c r="Y173" i="2"/>
  <c r="AB173" i="2" s="1"/>
  <c r="AA173" i="2" s="1"/>
  <c r="X173" i="2"/>
  <c r="W173" i="2"/>
  <c r="V173" i="2"/>
  <c r="AF172" i="2"/>
  <c r="AD172" i="2"/>
  <c r="AC172" i="2"/>
  <c r="Z172" i="2"/>
  <c r="Y172" i="2"/>
  <c r="AB172" i="2" s="1"/>
  <c r="AA172" i="2" s="1"/>
  <c r="X172" i="2"/>
  <c r="W172" i="2"/>
  <c r="V172" i="2"/>
  <c r="AF171" i="2"/>
  <c r="AD171" i="2"/>
  <c r="AC171" i="2"/>
  <c r="Z171" i="2"/>
  <c r="Y171" i="2"/>
  <c r="AB171" i="2" s="1"/>
  <c r="AA171" i="2" s="1"/>
  <c r="X171" i="2"/>
  <c r="W171" i="2"/>
  <c r="V171" i="2"/>
  <c r="AF170" i="2"/>
  <c r="AD170" i="2"/>
  <c r="AC170" i="2"/>
  <c r="Z170" i="2"/>
  <c r="Y170" i="2"/>
  <c r="AB170" i="2" s="1"/>
  <c r="AA170" i="2" s="1"/>
  <c r="X170" i="2"/>
  <c r="W170" i="2"/>
  <c r="V170" i="2"/>
  <c r="AF169" i="2"/>
  <c r="AD169" i="2"/>
  <c r="AC169" i="2"/>
  <c r="Z169" i="2"/>
  <c r="Y169" i="2"/>
  <c r="AB169" i="2" s="1"/>
  <c r="AA169" i="2" s="1"/>
  <c r="X169" i="2"/>
  <c r="W169" i="2"/>
  <c r="V169" i="2"/>
  <c r="AF168" i="2"/>
  <c r="AD168" i="2"/>
  <c r="AC168" i="2"/>
  <c r="Z168" i="2"/>
  <c r="Y168" i="2"/>
  <c r="AB168" i="2" s="1"/>
  <c r="AA168" i="2" s="1"/>
  <c r="X168" i="2"/>
  <c r="W168" i="2"/>
  <c r="V168" i="2"/>
  <c r="AF167" i="2"/>
  <c r="AD167" i="2"/>
  <c r="AC167" i="2"/>
  <c r="Z167" i="2"/>
  <c r="Y167" i="2"/>
  <c r="AB167" i="2" s="1"/>
  <c r="AA167" i="2" s="1"/>
  <c r="X167" i="2"/>
  <c r="W167" i="2"/>
  <c r="V167" i="2"/>
  <c r="AF166" i="2"/>
  <c r="AD166" i="2"/>
  <c r="AC166" i="2"/>
  <c r="Z166" i="2"/>
  <c r="Y166" i="2"/>
  <c r="AB166" i="2" s="1"/>
  <c r="AA166" i="2" s="1"/>
  <c r="X166" i="2"/>
  <c r="W166" i="2"/>
  <c r="V166" i="2"/>
  <c r="AF165" i="2"/>
  <c r="AD165" i="2"/>
  <c r="AC165" i="2"/>
  <c r="Z165" i="2"/>
  <c r="Y165" i="2"/>
  <c r="AB165" i="2" s="1"/>
  <c r="AA165" i="2" s="1"/>
  <c r="X165" i="2"/>
  <c r="W165" i="2"/>
  <c r="V165" i="2"/>
  <c r="AF164" i="2"/>
  <c r="AD164" i="2"/>
  <c r="AC164" i="2"/>
  <c r="Z164" i="2"/>
  <c r="Y164" i="2"/>
  <c r="AB164" i="2" s="1"/>
  <c r="AA164" i="2" s="1"/>
  <c r="X164" i="2"/>
  <c r="W164" i="2"/>
  <c r="V164" i="2"/>
  <c r="AF163" i="2"/>
  <c r="AD163" i="2"/>
  <c r="AC163" i="2"/>
  <c r="Z163" i="2"/>
  <c r="Y163" i="2"/>
  <c r="AB163" i="2" s="1"/>
  <c r="AA163" i="2" s="1"/>
  <c r="X163" i="2"/>
  <c r="W163" i="2"/>
  <c r="V163" i="2"/>
  <c r="AF162" i="2"/>
  <c r="AD162" i="2"/>
  <c r="AC162" i="2"/>
  <c r="Z162" i="2"/>
  <c r="Y162" i="2"/>
  <c r="AB162" i="2" s="1"/>
  <c r="AA162" i="2" s="1"/>
  <c r="X162" i="2"/>
  <c r="W162" i="2"/>
  <c r="V162" i="2"/>
  <c r="AF161" i="2"/>
  <c r="AD161" i="2"/>
  <c r="AC161" i="2"/>
  <c r="Z161" i="2"/>
  <c r="Y161" i="2"/>
  <c r="AB161" i="2" s="1"/>
  <c r="AA161" i="2" s="1"/>
  <c r="X161" i="2"/>
  <c r="W161" i="2"/>
  <c r="V161" i="2"/>
  <c r="AF160" i="2"/>
  <c r="AD160" i="2"/>
  <c r="AC160" i="2"/>
  <c r="Z160" i="2"/>
  <c r="Y160" i="2"/>
  <c r="AB160" i="2" s="1"/>
  <c r="AA160" i="2" s="1"/>
  <c r="X160" i="2"/>
  <c r="W160" i="2"/>
  <c r="V160" i="2"/>
  <c r="AF159" i="2"/>
  <c r="AD159" i="2"/>
  <c r="AC159" i="2"/>
  <c r="Z159" i="2"/>
  <c r="Y159" i="2"/>
  <c r="AB159" i="2" s="1"/>
  <c r="AA159" i="2" s="1"/>
  <c r="X159" i="2"/>
  <c r="W159" i="2"/>
  <c r="V159" i="2"/>
  <c r="AF158" i="2"/>
  <c r="AD158" i="2"/>
  <c r="AC158" i="2"/>
  <c r="Z158" i="2"/>
  <c r="Y158" i="2"/>
  <c r="AB158" i="2" s="1"/>
  <c r="AA158" i="2" s="1"/>
  <c r="X158" i="2"/>
  <c r="W158" i="2"/>
  <c r="V158" i="2"/>
  <c r="AF157" i="2"/>
  <c r="AD157" i="2"/>
  <c r="AC157" i="2"/>
  <c r="Z157" i="2"/>
  <c r="Y157" i="2"/>
  <c r="AB157" i="2" s="1"/>
  <c r="AA157" i="2" s="1"/>
  <c r="X157" i="2"/>
  <c r="W157" i="2"/>
  <c r="V157" i="2"/>
  <c r="AF156" i="2"/>
  <c r="AD156" i="2"/>
  <c r="AC156" i="2"/>
  <c r="Z156" i="2"/>
  <c r="Y156" i="2"/>
  <c r="AB156" i="2" s="1"/>
  <c r="AA156" i="2" s="1"/>
  <c r="X156" i="2"/>
  <c r="W156" i="2"/>
  <c r="V156" i="2"/>
  <c r="AF155" i="2"/>
  <c r="AD155" i="2"/>
  <c r="AC155" i="2"/>
  <c r="Z155" i="2"/>
  <c r="Y155" i="2"/>
  <c r="AB155" i="2" s="1"/>
  <c r="AA155" i="2" s="1"/>
  <c r="X155" i="2"/>
  <c r="W155" i="2"/>
  <c r="V155" i="2"/>
  <c r="AF154" i="2"/>
  <c r="AD154" i="2"/>
  <c r="AC154" i="2"/>
  <c r="Z154" i="2"/>
  <c r="Y154" i="2"/>
  <c r="AB154" i="2" s="1"/>
  <c r="AA154" i="2" s="1"/>
  <c r="X154" i="2"/>
  <c r="W154" i="2"/>
  <c r="V154" i="2"/>
  <c r="AF153" i="2"/>
  <c r="AD153" i="2"/>
  <c r="AC153" i="2"/>
  <c r="Z153" i="2"/>
  <c r="Y153" i="2"/>
  <c r="AB153" i="2" s="1"/>
  <c r="AA153" i="2" s="1"/>
  <c r="X153" i="2"/>
  <c r="W153" i="2"/>
  <c r="V153" i="2"/>
  <c r="AF152" i="2"/>
  <c r="AD152" i="2"/>
  <c r="AC152" i="2"/>
  <c r="Z152" i="2"/>
  <c r="Y152" i="2"/>
  <c r="AB152" i="2" s="1"/>
  <c r="AA152" i="2" s="1"/>
  <c r="X152" i="2"/>
  <c r="W152" i="2"/>
  <c r="V152" i="2"/>
  <c r="AF151" i="2"/>
  <c r="AD151" i="2"/>
  <c r="AC151" i="2"/>
  <c r="Z151" i="2"/>
  <c r="Y151" i="2"/>
  <c r="AB151" i="2" s="1"/>
  <c r="AA151" i="2" s="1"/>
  <c r="X151" i="2"/>
  <c r="W151" i="2"/>
  <c r="V151" i="2"/>
  <c r="AF150" i="2"/>
  <c r="AD150" i="2"/>
  <c r="AC150" i="2"/>
  <c r="Z150" i="2"/>
  <c r="Y150" i="2"/>
  <c r="AB150" i="2" s="1"/>
  <c r="AA150" i="2" s="1"/>
  <c r="X150" i="2"/>
  <c r="W150" i="2"/>
  <c r="V150" i="2"/>
  <c r="AF149" i="2"/>
  <c r="AD149" i="2"/>
  <c r="AC149" i="2"/>
  <c r="Z149" i="2"/>
  <c r="Y149" i="2"/>
  <c r="AB149" i="2" s="1"/>
  <c r="AA149" i="2" s="1"/>
  <c r="X149" i="2"/>
  <c r="W149" i="2"/>
  <c r="V149" i="2"/>
  <c r="AF148" i="2"/>
  <c r="AD148" i="2"/>
  <c r="AC148" i="2"/>
  <c r="Z148" i="2"/>
  <c r="Y148" i="2"/>
  <c r="AB148" i="2" s="1"/>
  <c r="AA148" i="2" s="1"/>
  <c r="X148" i="2"/>
  <c r="W148" i="2"/>
  <c r="V148" i="2"/>
  <c r="AF147" i="2"/>
  <c r="AD147" i="2"/>
  <c r="AC147" i="2"/>
  <c r="Z147" i="2"/>
  <c r="Y147" i="2"/>
  <c r="AB147" i="2" s="1"/>
  <c r="AA147" i="2" s="1"/>
  <c r="X147" i="2"/>
  <c r="W147" i="2"/>
  <c r="V147" i="2"/>
  <c r="AF146" i="2"/>
  <c r="AD146" i="2"/>
  <c r="AC146" i="2"/>
  <c r="Z146" i="2"/>
  <c r="Y146" i="2"/>
  <c r="AB146" i="2" s="1"/>
  <c r="AA146" i="2" s="1"/>
  <c r="X146" i="2"/>
  <c r="W146" i="2"/>
  <c r="V146" i="2"/>
  <c r="AF145" i="2"/>
  <c r="AD145" i="2"/>
  <c r="AC145" i="2"/>
  <c r="Z145" i="2"/>
  <c r="Y145" i="2"/>
  <c r="AB145" i="2" s="1"/>
  <c r="AA145" i="2" s="1"/>
  <c r="X145" i="2"/>
  <c r="W145" i="2"/>
  <c r="V145" i="2"/>
  <c r="AF144" i="2"/>
  <c r="AD144" i="2"/>
  <c r="AC144" i="2"/>
  <c r="Z144" i="2"/>
  <c r="Y144" i="2"/>
  <c r="AB144" i="2" s="1"/>
  <c r="AA144" i="2" s="1"/>
  <c r="X144" i="2"/>
  <c r="W144" i="2"/>
  <c r="V144" i="2"/>
  <c r="AF143" i="2"/>
  <c r="AD143" i="2"/>
  <c r="AC143" i="2"/>
  <c r="Z143" i="2"/>
  <c r="Y143" i="2"/>
  <c r="AB143" i="2" s="1"/>
  <c r="AA143" i="2" s="1"/>
  <c r="X143" i="2"/>
  <c r="W143" i="2"/>
  <c r="V143" i="2"/>
  <c r="AF142" i="2"/>
  <c r="AD142" i="2"/>
  <c r="AC142" i="2"/>
  <c r="Z142" i="2"/>
  <c r="Y142" i="2"/>
  <c r="AB142" i="2" s="1"/>
  <c r="AA142" i="2" s="1"/>
  <c r="X142" i="2"/>
  <c r="W142" i="2"/>
  <c r="V142" i="2"/>
  <c r="AF141" i="2"/>
  <c r="AD141" i="2"/>
  <c r="AC141" i="2"/>
  <c r="Z141" i="2"/>
  <c r="Y141" i="2"/>
  <c r="AB141" i="2" s="1"/>
  <c r="AA141" i="2" s="1"/>
  <c r="X141" i="2"/>
  <c r="W141" i="2"/>
  <c r="V141" i="2"/>
  <c r="AF140" i="2"/>
  <c r="AD140" i="2"/>
  <c r="AC140" i="2"/>
  <c r="Z140" i="2"/>
  <c r="Y140" i="2"/>
  <c r="AB140" i="2" s="1"/>
  <c r="AA140" i="2" s="1"/>
  <c r="X140" i="2"/>
  <c r="W140" i="2"/>
  <c r="V140" i="2"/>
  <c r="AF139" i="2"/>
  <c r="AD139" i="2"/>
  <c r="AC139" i="2"/>
  <c r="Z139" i="2"/>
  <c r="Y139" i="2"/>
  <c r="AB139" i="2" s="1"/>
  <c r="AA139" i="2" s="1"/>
  <c r="X139" i="2"/>
  <c r="W139" i="2"/>
  <c r="V139" i="2"/>
  <c r="AF138" i="2"/>
  <c r="AD138" i="2"/>
  <c r="AC138" i="2"/>
  <c r="Z138" i="2"/>
  <c r="Y138" i="2"/>
  <c r="AB138" i="2" s="1"/>
  <c r="AA138" i="2" s="1"/>
  <c r="X138" i="2"/>
  <c r="W138" i="2"/>
  <c r="V138" i="2"/>
  <c r="AF137" i="2"/>
  <c r="AD137" i="2"/>
  <c r="AC137" i="2"/>
  <c r="Z137" i="2"/>
  <c r="Y137" i="2"/>
  <c r="AB137" i="2" s="1"/>
  <c r="AA137" i="2" s="1"/>
  <c r="X137" i="2"/>
  <c r="W137" i="2"/>
  <c r="V137" i="2"/>
  <c r="AF136" i="2"/>
  <c r="AD136" i="2"/>
  <c r="AC136" i="2"/>
  <c r="Z136" i="2"/>
  <c r="Y136" i="2"/>
  <c r="AB136" i="2" s="1"/>
  <c r="AA136" i="2" s="1"/>
  <c r="X136" i="2"/>
  <c r="W136" i="2"/>
  <c r="V136" i="2"/>
  <c r="AF135" i="2"/>
  <c r="AD135" i="2"/>
  <c r="AC135" i="2"/>
  <c r="Z135" i="2"/>
  <c r="Y135" i="2"/>
  <c r="AB135" i="2" s="1"/>
  <c r="AA135" i="2" s="1"/>
  <c r="X135" i="2"/>
  <c r="W135" i="2"/>
  <c r="V135" i="2"/>
  <c r="AF134" i="2"/>
  <c r="AD134" i="2"/>
  <c r="AC134" i="2"/>
  <c r="Z134" i="2"/>
  <c r="Y134" i="2"/>
  <c r="AB134" i="2" s="1"/>
  <c r="AA134" i="2" s="1"/>
  <c r="X134" i="2"/>
  <c r="W134" i="2"/>
  <c r="V134" i="2"/>
  <c r="AF133" i="2"/>
  <c r="AD133" i="2"/>
  <c r="AC133" i="2"/>
  <c r="Z133" i="2"/>
  <c r="Y133" i="2"/>
  <c r="AB133" i="2" s="1"/>
  <c r="AA133" i="2" s="1"/>
  <c r="X133" i="2"/>
  <c r="W133" i="2"/>
  <c r="V133" i="2"/>
  <c r="AF132" i="2"/>
  <c r="AD132" i="2"/>
  <c r="AC132" i="2"/>
  <c r="Z132" i="2"/>
  <c r="Y132" i="2"/>
  <c r="AB132" i="2" s="1"/>
  <c r="AA132" i="2" s="1"/>
  <c r="X132" i="2"/>
  <c r="W132" i="2"/>
  <c r="V132" i="2"/>
  <c r="AF131" i="2"/>
  <c r="AD131" i="2"/>
  <c r="AC131" i="2"/>
  <c r="Z131" i="2"/>
  <c r="Y131" i="2"/>
  <c r="AB131" i="2" s="1"/>
  <c r="AA131" i="2" s="1"/>
  <c r="X131" i="2"/>
  <c r="W131" i="2"/>
  <c r="V131" i="2"/>
  <c r="AF130" i="2"/>
  <c r="AD130" i="2"/>
  <c r="AC130" i="2"/>
  <c r="Z130" i="2"/>
  <c r="Y130" i="2"/>
  <c r="AB130" i="2" s="1"/>
  <c r="AA130" i="2" s="1"/>
  <c r="X130" i="2"/>
  <c r="W130" i="2"/>
  <c r="V130" i="2"/>
  <c r="AF129" i="2"/>
  <c r="AD129" i="2"/>
  <c r="AC129" i="2"/>
  <c r="Z129" i="2"/>
  <c r="Y129" i="2"/>
  <c r="AB129" i="2" s="1"/>
  <c r="AA129" i="2" s="1"/>
  <c r="X129" i="2"/>
  <c r="W129" i="2"/>
  <c r="V129" i="2"/>
  <c r="AF128" i="2"/>
  <c r="AD128" i="2"/>
  <c r="AC128" i="2"/>
  <c r="Z128" i="2"/>
  <c r="Y128" i="2"/>
  <c r="AB128" i="2" s="1"/>
  <c r="AA128" i="2" s="1"/>
  <c r="X128" i="2"/>
  <c r="W128" i="2"/>
  <c r="V128" i="2"/>
  <c r="AF127" i="2"/>
  <c r="AD127" i="2"/>
  <c r="AC127" i="2"/>
  <c r="Z127" i="2"/>
  <c r="Y127" i="2"/>
  <c r="AB127" i="2" s="1"/>
  <c r="AA127" i="2" s="1"/>
  <c r="X127" i="2"/>
  <c r="W127" i="2"/>
  <c r="V127" i="2"/>
  <c r="AF126" i="2"/>
  <c r="AD126" i="2"/>
  <c r="AC126" i="2"/>
  <c r="Z126" i="2"/>
  <c r="Y126" i="2"/>
  <c r="AB126" i="2" s="1"/>
  <c r="AA126" i="2" s="1"/>
  <c r="X126" i="2"/>
  <c r="W126" i="2"/>
  <c r="V126" i="2"/>
  <c r="AF125" i="2"/>
  <c r="AD125" i="2"/>
  <c r="AC125" i="2"/>
  <c r="Z125" i="2"/>
  <c r="Y125" i="2"/>
  <c r="AB125" i="2" s="1"/>
  <c r="AA125" i="2" s="1"/>
  <c r="X125" i="2"/>
  <c r="W125" i="2"/>
  <c r="V125" i="2"/>
  <c r="AF124" i="2"/>
  <c r="AD124" i="2"/>
  <c r="AC124" i="2"/>
  <c r="Z124" i="2"/>
  <c r="Y124" i="2"/>
  <c r="AB124" i="2" s="1"/>
  <c r="AA124" i="2" s="1"/>
  <c r="X124" i="2"/>
  <c r="W124" i="2"/>
  <c r="V124" i="2"/>
  <c r="AF123" i="2"/>
  <c r="AD123" i="2"/>
  <c r="AC123" i="2"/>
  <c r="Z123" i="2"/>
  <c r="Y123" i="2"/>
  <c r="AB123" i="2" s="1"/>
  <c r="AA123" i="2" s="1"/>
  <c r="X123" i="2"/>
  <c r="W123" i="2"/>
  <c r="V123" i="2"/>
  <c r="AF122" i="2"/>
  <c r="AD122" i="2"/>
  <c r="AC122" i="2"/>
  <c r="Z122" i="2"/>
  <c r="Y122" i="2"/>
  <c r="AB122" i="2" s="1"/>
  <c r="AA122" i="2" s="1"/>
  <c r="X122" i="2"/>
  <c r="W122" i="2"/>
  <c r="V122" i="2"/>
  <c r="AF121" i="2"/>
  <c r="AD121" i="2"/>
  <c r="AC121" i="2"/>
  <c r="Z121" i="2"/>
  <c r="Y121" i="2"/>
  <c r="AB121" i="2" s="1"/>
  <c r="AA121" i="2" s="1"/>
  <c r="X121" i="2"/>
  <c r="W121" i="2"/>
  <c r="V121" i="2"/>
  <c r="AF120" i="2"/>
  <c r="AD120" i="2"/>
  <c r="AC120" i="2"/>
  <c r="Z120" i="2"/>
  <c r="Y120" i="2"/>
  <c r="AB120" i="2" s="1"/>
  <c r="AA120" i="2" s="1"/>
  <c r="X120" i="2"/>
  <c r="W120" i="2"/>
  <c r="V120" i="2"/>
  <c r="AF119" i="2"/>
  <c r="AD119" i="2"/>
  <c r="AC119" i="2"/>
  <c r="Z119" i="2"/>
  <c r="Y119" i="2"/>
  <c r="AB119" i="2" s="1"/>
  <c r="AA119" i="2" s="1"/>
  <c r="X119" i="2"/>
  <c r="W119" i="2"/>
  <c r="V119" i="2"/>
  <c r="AF118" i="2"/>
  <c r="AD118" i="2"/>
  <c r="AC118" i="2"/>
  <c r="Z118" i="2"/>
  <c r="Y118" i="2"/>
  <c r="AB118" i="2" s="1"/>
  <c r="AA118" i="2" s="1"/>
  <c r="X118" i="2"/>
  <c r="W118" i="2"/>
  <c r="V118" i="2"/>
  <c r="AF117" i="2"/>
  <c r="AD117" i="2"/>
  <c r="AC117" i="2"/>
  <c r="Z117" i="2"/>
  <c r="Y117" i="2"/>
  <c r="AB117" i="2" s="1"/>
  <c r="AA117" i="2" s="1"/>
  <c r="X117" i="2"/>
  <c r="W117" i="2"/>
  <c r="V117" i="2"/>
  <c r="AF116" i="2"/>
  <c r="AD116" i="2"/>
  <c r="AC116" i="2"/>
  <c r="Z116" i="2"/>
  <c r="Y116" i="2"/>
  <c r="AB116" i="2" s="1"/>
  <c r="AA116" i="2" s="1"/>
  <c r="X116" i="2"/>
  <c r="W116" i="2"/>
  <c r="V116" i="2"/>
  <c r="AF115" i="2"/>
  <c r="AD115" i="2"/>
  <c r="AC115" i="2"/>
  <c r="Z115" i="2"/>
  <c r="Y115" i="2"/>
  <c r="AB115" i="2" s="1"/>
  <c r="AA115" i="2" s="1"/>
  <c r="X115" i="2"/>
  <c r="W115" i="2"/>
  <c r="V115" i="2"/>
  <c r="AF114" i="2"/>
  <c r="AD114" i="2"/>
  <c r="AC114" i="2"/>
  <c r="Z114" i="2"/>
  <c r="Y114" i="2"/>
  <c r="AB114" i="2" s="1"/>
  <c r="AA114" i="2" s="1"/>
  <c r="X114" i="2"/>
  <c r="W114" i="2"/>
  <c r="V114" i="2"/>
  <c r="AF113" i="2"/>
  <c r="AD113" i="2"/>
  <c r="AC113" i="2"/>
  <c r="Z113" i="2"/>
  <c r="Y113" i="2"/>
  <c r="AB113" i="2" s="1"/>
  <c r="AA113" i="2" s="1"/>
  <c r="X113" i="2"/>
  <c r="W113" i="2"/>
  <c r="V113" i="2"/>
  <c r="AF112" i="2"/>
  <c r="AD112" i="2"/>
  <c r="AC112" i="2"/>
  <c r="Z112" i="2"/>
  <c r="Y112" i="2"/>
  <c r="AB112" i="2" s="1"/>
  <c r="AA112" i="2" s="1"/>
  <c r="X112" i="2"/>
  <c r="W112" i="2"/>
  <c r="V112" i="2"/>
  <c r="AF111" i="2"/>
  <c r="AD111" i="2"/>
  <c r="AC111" i="2"/>
  <c r="Z111" i="2"/>
  <c r="Y111" i="2"/>
  <c r="AB111" i="2" s="1"/>
  <c r="AA111" i="2" s="1"/>
  <c r="X111" i="2"/>
  <c r="W111" i="2"/>
  <c r="V111" i="2"/>
  <c r="AF110" i="2"/>
  <c r="AD110" i="2"/>
  <c r="AC110" i="2"/>
  <c r="Z110" i="2"/>
  <c r="Y110" i="2"/>
  <c r="AB110" i="2" s="1"/>
  <c r="AA110" i="2" s="1"/>
  <c r="X110" i="2"/>
  <c r="W110" i="2"/>
  <c r="V110" i="2"/>
  <c r="AF109" i="2"/>
  <c r="AD109" i="2"/>
  <c r="AC109" i="2"/>
  <c r="Z109" i="2"/>
  <c r="Y109" i="2"/>
  <c r="AB109" i="2" s="1"/>
  <c r="AA109" i="2" s="1"/>
  <c r="X109" i="2"/>
  <c r="W109" i="2"/>
  <c r="V109" i="2"/>
  <c r="AF108" i="2"/>
  <c r="AD108" i="2"/>
  <c r="AC108" i="2"/>
  <c r="Z108" i="2"/>
  <c r="Y108" i="2"/>
  <c r="AB108" i="2" s="1"/>
  <c r="AA108" i="2" s="1"/>
  <c r="X108" i="2"/>
  <c r="W108" i="2"/>
  <c r="V108" i="2"/>
  <c r="AF107" i="2"/>
  <c r="AD107" i="2"/>
  <c r="AC107" i="2"/>
  <c r="Z107" i="2"/>
  <c r="Y107" i="2"/>
  <c r="AB107" i="2" s="1"/>
  <c r="AA107" i="2" s="1"/>
  <c r="X107" i="2"/>
  <c r="W107" i="2"/>
  <c r="V107" i="2"/>
  <c r="AF106" i="2"/>
  <c r="AD106" i="2"/>
  <c r="AC106" i="2"/>
  <c r="Z106" i="2"/>
  <c r="Y106" i="2"/>
  <c r="AB106" i="2" s="1"/>
  <c r="AA106" i="2" s="1"/>
  <c r="X106" i="2"/>
  <c r="W106" i="2"/>
  <c r="V106" i="2"/>
  <c r="AF105" i="2"/>
  <c r="AD105" i="2"/>
  <c r="AC105" i="2"/>
  <c r="Z105" i="2"/>
  <c r="Y105" i="2"/>
  <c r="AB105" i="2" s="1"/>
  <c r="AA105" i="2" s="1"/>
  <c r="X105" i="2"/>
  <c r="W105" i="2"/>
  <c r="V105" i="2"/>
  <c r="AF104" i="2"/>
  <c r="AD104" i="2"/>
  <c r="AC104" i="2"/>
  <c r="Z104" i="2"/>
  <c r="Y104" i="2"/>
  <c r="AB104" i="2" s="1"/>
  <c r="AA104" i="2" s="1"/>
  <c r="X104" i="2"/>
  <c r="W104" i="2"/>
  <c r="V104" i="2"/>
  <c r="AF103" i="2"/>
  <c r="AD103" i="2"/>
  <c r="AC103" i="2"/>
  <c r="Z103" i="2"/>
  <c r="Y103" i="2"/>
  <c r="AB103" i="2" s="1"/>
  <c r="AA103" i="2" s="1"/>
  <c r="X103" i="2"/>
  <c r="W103" i="2"/>
  <c r="V103" i="2"/>
  <c r="AF102" i="2"/>
  <c r="AD102" i="2"/>
  <c r="AC102" i="2"/>
  <c r="Z102" i="2"/>
  <c r="Y102" i="2"/>
  <c r="AB102" i="2" s="1"/>
  <c r="AA102" i="2" s="1"/>
  <c r="X102" i="2"/>
  <c r="W102" i="2"/>
  <c r="V102" i="2"/>
  <c r="AF101" i="2"/>
  <c r="AD101" i="2"/>
  <c r="AC101" i="2"/>
  <c r="Z101" i="2"/>
  <c r="Y101" i="2"/>
  <c r="AB101" i="2" s="1"/>
  <c r="AA101" i="2" s="1"/>
  <c r="X101" i="2"/>
  <c r="W101" i="2"/>
  <c r="V101" i="2"/>
  <c r="AF100" i="2"/>
  <c r="AD100" i="2"/>
  <c r="AC100" i="2"/>
  <c r="Z100" i="2"/>
  <c r="Y100" i="2"/>
  <c r="AB100" i="2" s="1"/>
  <c r="AA100" i="2" s="1"/>
  <c r="X100" i="2"/>
  <c r="W100" i="2"/>
  <c r="V100" i="2"/>
  <c r="AF99" i="2"/>
  <c r="AD99" i="2"/>
  <c r="AC99" i="2"/>
  <c r="Z99" i="2"/>
  <c r="Y99" i="2"/>
  <c r="AB99" i="2" s="1"/>
  <c r="AA99" i="2" s="1"/>
  <c r="X99" i="2"/>
  <c r="W99" i="2"/>
  <c r="V99" i="2"/>
  <c r="AF98" i="2"/>
  <c r="AD98" i="2"/>
  <c r="AC98" i="2"/>
  <c r="Z98" i="2"/>
  <c r="Y98" i="2"/>
  <c r="AB98" i="2" s="1"/>
  <c r="AA98" i="2" s="1"/>
  <c r="X98" i="2"/>
  <c r="W98" i="2"/>
  <c r="V98" i="2"/>
  <c r="AF97" i="2"/>
  <c r="AD97" i="2"/>
  <c r="AC97" i="2"/>
  <c r="Z97" i="2"/>
  <c r="Y97" i="2"/>
  <c r="AB97" i="2" s="1"/>
  <c r="AA97" i="2" s="1"/>
  <c r="X97" i="2"/>
  <c r="W97" i="2"/>
  <c r="V97" i="2"/>
  <c r="AF96" i="2"/>
  <c r="AD96" i="2"/>
  <c r="AC96" i="2"/>
  <c r="Z96" i="2"/>
  <c r="Y96" i="2"/>
  <c r="AB96" i="2" s="1"/>
  <c r="AA96" i="2" s="1"/>
  <c r="X96" i="2"/>
  <c r="W96" i="2"/>
  <c r="V96" i="2"/>
  <c r="AF95" i="2"/>
  <c r="AD95" i="2"/>
  <c r="AC95" i="2"/>
  <c r="Z95" i="2"/>
  <c r="Y95" i="2"/>
  <c r="AB95" i="2" s="1"/>
  <c r="AA95" i="2" s="1"/>
  <c r="X95" i="2"/>
  <c r="W95" i="2"/>
  <c r="V95" i="2"/>
  <c r="AF94" i="2"/>
  <c r="AD94" i="2"/>
  <c r="AC94" i="2"/>
  <c r="Z94" i="2"/>
  <c r="Y94" i="2"/>
  <c r="AB94" i="2" s="1"/>
  <c r="AA94" i="2" s="1"/>
  <c r="X94" i="2"/>
  <c r="W94" i="2"/>
  <c r="V94" i="2"/>
  <c r="AF93" i="2"/>
  <c r="AD93" i="2"/>
  <c r="AC93" i="2"/>
  <c r="Z93" i="2"/>
  <c r="Y93" i="2"/>
  <c r="AB93" i="2" s="1"/>
  <c r="AA93" i="2" s="1"/>
  <c r="X93" i="2"/>
  <c r="W93" i="2"/>
  <c r="V93" i="2"/>
  <c r="AF92" i="2"/>
  <c r="AD92" i="2"/>
  <c r="AC92" i="2"/>
  <c r="Z92" i="2"/>
  <c r="Y92" i="2"/>
  <c r="AB92" i="2" s="1"/>
  <c r="AA92" i="2" s="1"/>
  <c r="X92" i="2"/>
  <c r="W92" i="2"/>
  <c r="V92" i="2"/>
  <c r="AF91" i="2"/>
  <c r="AD91" i="2"/>
  <c r="AC91" i="2"/>
  <c r="Z91" i="2"/>
  <c r="Y91" i="2"/>
  <c r="AB91" i="2" s="1"/>
  <c r="AA91" i="2" s="1"/>
  <c r="X91" i="2"/>
  <c r="W91" i="2"/>
  <c r="V91" i="2"/>
  <c r="AF90" i="2"/>
  <c r="AD90" i="2"/>
  <c r="AC90" i="2"/>
  <c r="Z90" i="2"/>
  <c r="Y90" i="2"/>
  <c r="AB90" i="2" s="1"/>
  <c r="AA90" i="2" s="1"/>
  <c r="X90" i="2"/>
  <c r="W90" i="2"/>
  <c r="V90" i="2"/>
  <c r="AF89" i="2"/>
  <c r="AD89" i="2"/>
  <c r="AC89" i="2"/>
  <c r="Z89" i="2"/>
  <c r="Y89" i="2"/>
  <c r="AB89" i="2" s="1"/>
  <c r="AA89" i="2" s="1"/>
  <c r="X89" i="2"/>
  <c r="W89" i="2"/>
  <c r="V89" i="2"/>
  <c r="AF88" i="2"/>
  <c r="AD88" i="2"/>
  <c r="AC88" i="2"/>
  <c r="Z88" i="2"/>
  <c r="Y88" i="2"/>
  <c r="AB88" i="2" s="1"/>
  <c r="AA88" i="2" s="1"/>
  <c r="X88" i="2"/>
  <c r="W88" i="2"/>
  <c r="V88" i="2"/>
  <c r="AF87" i="2"/>
  <c r="AD87" i="2"/>
  <c r="AC87" i="2"/>
  <c r="Z87" i="2"/>
  <c r="Y87" i="2"/>
  <c r="AB87" i="2" s="1"/>
  <c r="AA87" i="2" s="1"/>
  <c r="X87" i="2"/>
  <c r="W87" i="2"/>
  <c r="V87" i="2"/>
  <c r="AF86" i="2"/>
  <c r="AD86" i="2"/>
  <c r="AC86" i="2"/>
  <c r="Z86" i="2"/>
  <c r="Y86" i="2"/>
  <c r="AB86" i="2" s="1"/>
  <c r="AA86" i="2" s="1"/>
  <c r="X86" i="2"/>
  <c r="W86" i="2"/>
  <c r="V86" i="2"/>
  <c r="AF85" i="2"/>
  <c r="AD85" i="2"/>
  <c r="AC85" i="2"/>
  <c r="Z85" i="2"/>
  <c r="Y85" i="2"/>
  <c r="AB85" i="2" s="1"/>
  <c r="AA85" i="2" s="1"/>
  <c r="X85" i="2"/>
  <c r="W85" i="2"/>
  <c r="V85" i="2"/>
  <c r="AF84" i="2"/>
  <c r="AD84" i="2"/>
  <c r="AC84" i="2"/>
  <c r="Z84" i="2"/>
  <c r="Y84" i="2"/>
  <c r="AB84" i="2" s="1"/>
  <c r="AA84" i="2" s="1"/>
  <c r="X84" i="2"/>
  <c r="W84" i="2"/>
  <c r="V84" i="2"/>
  <c r="AF83" i="2"/>
  <c r="AD83" i="2"/>
  <c r="AC83" i="2"/>
  <c r="Z83" i="2"/>
  <c r="Y83" i="2"/>
  <c r="AB83" i="2" s="1"/>
  <c r="AA83" i="2" s="1"/>
  <c r="X83" i="2"/>
  <c r="W83" i="2"/>
  <c r="V83" i="2"/>
  <c r="AF82" i="2"/>
  <c r="AD82" i="2"/>
  <c r="AC82" i="2"/>
  <c r="Z82" i="2"/>
  <c r="Y82" i="2"/>
  <c r="AB82" i="2" s="1"/>
  <c r="AA82" i="2" s="1"/>
  <c r="X82" i="2"/>
  <c r="W82" i="2"/>
  <c r="V82" i="2"/>
  <c r="AF81" i="2"/>
  <c r="AD81" i="2"/>
  <c r="AC81" i="2"/>
  <c r="Z81" i="2"/>
  <c r="Y81" i="2"/>
  <c r="AB81" i="2" s="1"/>
  <c r="AA81" i="2" s="1"/>
  <c r="X81" i="2"/>
  <c r="W81" i="2"/>
  <c r="V81" i="2"/>
  <c r="AF80" i="2"/>
  <c r="AD80" i="2"/>
  <c r="AC80" i="2"/>
  <c r="Z80" i="2"/>
  <c r="Y80" i="2"/>
  <c r="AB80" i="2" s="1"/>
  <c r="AA80" i="2" s="1"/>
  <c r="X80" i="2"/>
  <c r="W80" i="2"/>
  <c r="V80" i="2"/>
  <c r="AF79" i="2"/>
  <c r="AD79" i="2"/>
  <c r="AC79" i="2"/>
  <c r="Z79" i="2"/>
  <c r="Y79" i="2"/>
  <c r="AB79" i="2" s="1"/>
  <c r="AA79" i="2" s="1"/>
  <c r="X79" i="2"/>
  <c r="W79" i="2"/>
  <c r="V79" i="2"/>
  <c r="AF78" i="2"/>
  <c r="AD78" i="2"/>
  <c r="AC78" i="2"/>
  <c r="Z78" i="2"/>
  <c r="Y78" i="2"/>
  <c r="AB78" i="2" s="1"/>
  <c r="AA78" i="2" s="1"/>
  <c r="X78" i="2"/>
  <c r="W78" i="2"/>
  <c r="V78" i="2"/>
  <c r="AF77" i="2"/>
  <c r="AD77" i="2"/>
  <c r="AC77" i="2"/>
  <c r="Z77" i="2"/>
  <c r="Y77" i="2"/>
  <c r="AB77" i="2" s="1"/>
  <c r="AA77" i="2" s="1"/>
  <c r="X77" i="2"/>
  <c r="W77" i="2"/>
  <c r="V77" i="2"/>
  <c r="AF76" i="2"/>
  <c r="AD76" i="2"/>
  <c r="AC76" i="2"/>
  <c r="Z76" i="2"/>
  <c r="Y76" i="2"/>
  <c r="AB76" i="2" s="1"/>
  <c r="AA76" i="2" s="1"/>
  <c r="X76" i="2"/>
  <c r="W76" i="2"/>
  <c r="V76" i="2"/>
  <c r="AF75" i="2"/>
  <c r="AD75" i="2"/>
  <c r="AC75" i="2"/>
  <c r="Z75" i="2"/>
  <c r="Y75" i="2"/>
  <c r="AB75" i="2" s="1"/>
  <c r="AA75" i="2" s="1"/>
  <c r="X75" i="2"/>
  <c r="W75" i="2"/>
  <c r="V75" i="2"/>
  <c r="AF74" i="2"/>
  <c r="AD74" i="2"/>
  <c r="AC74" i="2"/>
  <c r="Z74" i="2"/>
  <c r="Y74" i="2"/>
  <c r="AB74" i="2" s="1"/>
  <c r="AA74" i="2" s="1"/>
  <c r="X74" i="2"/>
  <c r="W74" i="2"/>
  <c r="V74" i="2"/>
  <c r="AF73" i="2"/>
  <c r="AD73" i="2"/>
  <c r="AC73" i="2"/>
  <c r="Z73" i="2"/>
  <c r="Y73" i="2"/>
  <c r="AB73" i="2" s="1"/>
  <c r="AA73" i="2" s="1"/>
  <c r="X73" i="2"/>
  <c r="W73" i="2"/>
  <c r="V73" i="2"/>
  <c r="AF72" i="2"/>
  <c r="AD72" i="2"/>
  <c r="AC72" i="2"/>
  <c r="Z72" i="2"/>
  <c r="Y72" i="2"/>
  <c r="AB72" i="2" s="1"/>
  <c r="AA72" i="2" s="1"/>
  <c r="X72" i="2"/>
  <c r="W72" i="2"/>
  <c r="V72" i="2"/>
  <c r="AF71" i="2"/>
  <c r="AD71" i="2"/>
  <c r="AC71" i="2"/>
  <c r="Z71" i="2"/>
  <c r="Y71" i="2"/>
  <c r="AB71" i="2" s="1"/>
  <c r="AA71" i="2" s="1"/>
  <c r="X71" i="2"/>
  <c r="W71" i="2"/>
  <c r="V71" i="2"/>
  <c r="AF70" i="2"/>
  <c r="AD70" i="2"/>
  <c r="AC70" i="2"/>
  <c r="Z70" i="2"/>
  <c r="Y70" i="2"/>
  <c r="AB70" i="2" s="1"/>
  <c r="AA70" i="2" s="1"/>
  <c r="X70" i="2"/>
  <c r="W70" i="2"/>
  <c r="V70" i="2"/>
  <c r="AF69" i="2"/>
  <c r="AD69" i="2"/>
  <c r="AC69" i="2"/>
  <c r="Z69" i="2"/>
  <c r="Y69" i="2"/>
  <c r="AB69" i="2" s="1"/>
  <c r="AA69" i="2" s="1"/>
  <c r="X69" i="2"/>
  <c r="W69" i="2"/>
  <c r="V69" i="2"/>
  <c r="AF68" i="2"/>
  <c r="AD68" i="2"/>
  <c r="AC68" i="2"/>
  <c r="Z68" i="2"/>
  <c r="Y68" i="2"/>
  <c r="AB68" i="2" s="1"/>
  <c r="AA68" i="2" s="1"/>
  <c r="X68" i="2"/>
  <c r="W68" i="2"/>
  <c r="V68" i="2"/>
  <c r="AF67" i="2"/>
  <c r="AD67" i="2"/>
  <c r="AC67" i="2"/>
  <c r="Z67" i="2"/>
  <c r="Y67" i="2"/>
  <c r="AB67" i="2" s="1"/>
  <c r="AA67" i="2" s="1"/>
  <c r="X67" i="2"/>
  <c r="W67" i="2"/>
  <c r="V67" i="2"/>
  <c r="AF66" i="2"/>
  <c r="AD66" i="2"/>
  <c r="AC66" i="2"/>
  <c r="Z66" i="2"/>
  <c r="Y66" i="2"/>
  <c r="AB66" i="2" s="1"/>
  <c r="AA66" i="2" s="1"/>
  <c r="X66" i="2"/>
  <c r="W66" i="2"/>
  <c r="V66" i="2"/>
  <c r="AF65" i="2"/>
  <c r="AD65" i="2"/>
  <c r="AC65" i="2"/>
  <c r="Z65" i="2"/>
  <c r="Y65" i="2"/>
  <c r="AB65" i="2" s="1"/>
  <c r="AA65" i="2" s="1"/>
  <c r="X65" i="2"/>
  <c r="W65" i="2"/>
  <c r="V65" i="2"/>
  <c r="AF64" i="2"/>
  <c r="AD64" i="2"/>
  <c r="AC64" i="2"/>
  <c r="Z64" i="2"/>
  <c r="Y64" i="2"/>
  <c r="AB64" i="2" s="1"/>
  <c r="AA64" i="2" s="1"/>
  <c r="X64" i="2"/>
  <c r="W64" i="2"/>
  <c r="V64" i="2"/>
  <c r="AF63" i="2"/>
  <c r="AD63" i="2"/>
  <c r="AC63" i="2"/>
  <c r="Z63" i="2"/>
  <c r="Y63" i="2"/>
  <c r="AB63" i="2" s="1"/>
  <c r="AA63" i="2" s="1"/>
  <c r="X63" i="2"/>
  <c r="W63" i="2"/>
  <c r="V63" i="2"/>
  <c r="AF62" i="2"/>
  <c r="AD62" i="2"/>
  <c r="AC62" i="2"/>
  <c r="Z62" i="2"/>
  <c r="Y62" i="2"/>
  <c r="AB62" i="2" s="1"/>
  <c r="AA62" i="2" s="1"/>
  <c r="X62" i="2"/>
  <c r="W62" i="2"/>
  <c r="V62" i="2"/>
  <c r="AF61" i="2"/>
  <c r="AD61" i="2"/>
  <c r="AC61" i="2"/>
  <c r="Z61" i="2"/>
  <c r="Y61" i="2"/>
  <c r="AB61" i="2" s="1"/>
  <c r="AA61" i="2" s="1"/>
  <c r="X61" i="2"/>
  <c r="W61" i="2"/>
  <c r="V61" i="2"/>
  <c r="AF60" i="2"/>
  <c r="AD60" i="2"/>
  <c r="AC60" i="2"/>
  <c r="Z60" i="2"/>
  <c r="Y60" i="2"/>
  <c r="AB60" i="2" s="1"/>
  <c r="AA60" i="2" s="1"/>
  <c r="X60" i="2"/>
  <c r="W60" i="2"/>
  <c r="V60" i="2"/>
  <c r="AF59" i="2"/>
  <c r="AD59" i="2"/>
  <c r="AC59" i="2"/>
  <c r="Z59" i="2"/>
  <c r="Y59" i="2"/>
  <c r="AB59" i="2" s="1"/>
  <c r="AA59" i="2" s="1"/>
  <c r="X59" i="2"/>
  <c r="W59" i="2"/>
  <c r="V59" i="2"/>
  <c r="AF58" i="2"/>
  <c r="AD58" i="2"/>
  <c r="AC58" i="2"/>
  <c r="Z58" i="2"/>
  <c r="Y58" i="2"/>
  <c r="AB58" i="2" s="1"/>
  <c r="AA58" i="2" s="1"/>
  <c r="X58" i="2"/>
  <c r="W58" i="2"/>
  <c r="V58" i="2"/>
  <c r="AF57" i="2"/>
  <c r="AD57" i="2"/>
  <c r="AC57" i="2"/>
  <c r="Z57" i="2"/>
  <c r="Y57" i="2"/>
  <c r="AB57" i="2" s="1"/>
  <c r="AA57" i="2" s="1"/>
  <c r="X57" i="2"/>
  <c r="W57" i="2"/>
  <c r="V57" i="2"/>
  <c r="AF56" i="2"/>
  <c r="AD56" i="2"/>
  <c r="AC56" i="2"/>
  <c r="Z56" i="2"/>
  <c r="Y56" i="2"/>
  <c r="AB56" i="2" s="1"/>
  <c r="AA56" i="2" s="1"/>
  <c r="X56" i="2"/>
  <c r="W56" i="2"/>
  <c r="V56" i="2"/>
  <c r="AF55" i="2"/>
  <c r="AD55" i="2"/>
  <c r="AC55" i="2"/>
  <c r="Z55" i="2"/>
  <c r="Y55" i="2"/>
  <c r="AB55" i="2" s="1"/>
  <c r="AA55" i="2" s="1"/>
  <c r="X55" i="2"/>
  <c r="W55" i="2"/>
  <c r="V55" i="2"/>
  <c r="AF54" i="2"/>
  <c r="AD54" i="2"/>
  <c r="AC54" i="2"/>
  <c r="Z54" i="2"/>
  <c r="Y54" i="2"/>
  <c r="AB54" i="2" s="1"/>
  <c r="AA54" i="2" s="1"/>
  <c r="X54" i="2"/>
  <c r="W54" i="2"/>
  <c r="V54" i="2"/>
  <c r="AF53" i="2"/>
  <c r="AD53" i="2"/>
  <c r="AC53" i="2"/>
  <c r="Z53" i="2"/>
  <c r="Y53" i="2"/>
  <c r="AB53" i="2" s="1"/>
  <c r="AA53" i="2" s="1"/>
  <c r="X53" i="2"/>
  <c r="W53" i="2"/>
  <c r="V53" i="2"/>
  <c r="AF52" i="2"/>
  <c r="AD52" i="2"/>
  <c r="AC52" i="2"/>
  <c r="Z52" i="2"/>
  <c r="Y52" i="2"/>
  <c r="AB52" i="2" s="1"/>
  <c r="AA52" i="2" s="1"/>
  <c r="X52" i="2"/>
  <c r="W52" i="2"/>
  <c r="V52" i="2"/>
  <c r="AF51" i="2"/>
  <c r="AD51" i="2"/>
  <c r="AC51" i="2"/>
  <c r="Z51" i="2"/>
  <c r="Y51" i="2"/>
  <c r="AB51" i="2" s="1"/>
  <c r="AA51" i="2" s="1"/>
  <c r="X51" i="2"/>
  <c r="W51" i="2"/>
  <c r="V51" i="2"/>
  <c r="AF50" i="2"/>
  <c r="AD50" i="2"/>
  <c r="AC50" i="2"/>
  <c r="Z50" i="2"/>
  <c r="Y50" i="2"/>
  <c r="AB50" i="2" s="1"/>
  <c r="AA50" i="2" s="1"/>
  <c r="X50" i="2"/>
  <c r="W50" i="2"/>
  <c r="V50" i="2"/>
  <c r="AF49" i="2"/>
  <c r="AD49" i="2"/>
  <c r="AC49" i="2"/>
  <c r="Z49" i="2"/>
  <c r="Y49" i="2"/>
  <c r="AB49" i="2" s="1"/>
  <c r="AA49" i="2" s="1"/>
  <c r="X49" i="2"/>
  <c r="W49" i="2"/>
  <c r="V49" i="2"/>
  <c r="AF48" i="2"/>
  <c r="AD48" i="2"/>
  <c r="AC48" i="2"/>
  <c r="Z48" i="2"/>
  <c r="Y48" i="2"/>
  <c r="AB48" i="2" s="1"/>
  <c r="AA48" i="2" s="1"/>
  <c r="X48" i="2"/>
  <c r="W48" i="2"/>
  <c r="V48" i="2"/>
  <c r="AF47" i="2"/>
  <c r="AD47" i="2"/>
  <c r="AC47" i="2"/>
  <c r="Z47" i="2"/>
  <c r="Y47" i="2"/>
  <c r="AB47" i="2" s="1"/>
  <c r="AA47" i="2" s="1"/>
  <c r="X47" i="2"/>
  <c r="W47" i="2"/>
  <c r="V47" i="2"/>
  <c r="AF46" i="2"/>
  <c r="AD46" i="2"/>
  <c r="AC46" i="2"/>
  <c r="Z46" i="2"/>
  <c r="Y46" i="2"/>
  <c r="AB46" i="2" s="1"/>
  <c r="AA46" i="2" s="1"/>
  <c r="X46" i="2"/>
  <c r="W46" i="2"/>
  <c r="V46" i="2"/>
  <c r="AF45" i="2"/>
  <c r="AD45" i="2"/>
  <c r="AC45" i="2"/>
  <c r="Z45" i="2"/>
  <c r="Y45" i="2"/>
  <c r="AB45" i="2" s="1"/>
  <c r="AA45" i="2" s="1"/>
  <c r="X45" i="2"/>
  <c r="W45" i="2"/>
  <c r="V45" i="2"/>
  <c r="AF44" i="2"/>
  <c r="AD44" i="2"/>
  <c r="AC44" i="2"/>
  <c r="Z44" i="2"/>
  <c r="Y44" i="2"/>
  <c r="AB44" i="2" s="1"/>
  <c r="AA44" i="2" s="1"/>
  <c r="X44" i="2"/>
  <c r="W44" i="2"/>
  <c r="V44" i="2"/>
  <c r="AF43" i="2"/>
  <c r="AD43" i="2"/>
  <c r="AC43" i="2"/>
  <c r="Z43" i="2"/>
  <c r="Y43" i="2"/>
  <c r="AB43" i="2" s="1"/>
  <c r="AA43" i="2" s="1"/>
  <c r="X43" i="2"/>
  <c r="W43" i="2"/>
  <c r="V43" i="2"/>
  <c r="AF42" i="2"/>
  <c r="AD42" i="2"/>
  <c r="AC42" i="2"/>
  <c r="Z42" i="2"/>
  <c r="Y42" i="2"/>
  <c r="AB42" i="2" s="1"/>
  <c r="AA42" i="2" s="1"/>
  <c r="X42" i="2"/>
  <c r="W42" i="2"/>
  <c r="V42" i="2"/>
  <c r="AF41" i="2"/>
  <c r="AD41" i="2"/>
  <c r="AC41" i="2"/>
  <c r="Z41" i="2"/>
  <c r="Y41" i="2"/>
  <c r="AB41" i="2" s="1"/>
  <c r="AA41" i="2" s="1"/>
  <c r="X41" i="2"/>
  <c r="W41" i="2"/>
  <c r="V41" i="2"/>
  <c r="AF40" i="2"/>
  <c r="AD40" i="2"/>
  <c r="AC40" i="2"/>
  <c r="Z40" i="2"/>
  <c r="Y40" i="2"/>
  <c r="AB40" i="2" s="1"/>
  <c r="AA40" i="2" s="1"/>
  <c r="X40" i="2"/>
  <c r="W40" i="2"/>
  <c r="V40" i="2"/>
  <c r="AF39" i="2"/>
  <c r="AD39" i="2"/>
  <c r="AC39" i="2"/>
  <c r="Z39" i="2"/>
  <c r="Y39" i="2"/>
  <c r="AB39" i="2" s="1"/>
  <c r="AA39" i="2" s="1"/>
  <c r="X39" i="2"/>
  <c r="W39" i="2"/>
  <c r="V39" i="2"/>
  <c r="AF38" i="2"/>
  <c r="AD38" i="2"/>
  <c r="AC38" i="2"/>
  <c r="Z38" i="2"/>
  <c r="Y38" i="2"/>
  <c r="AB38" i="2" s="1"/>
  <c r="AA38" i="2" s="1"/>
  <c r="X38" i="2"/>
  <c r="W38" i="2"/>
  <c r="V38" i="2"/>
  <c r="AF37" i="2"/>
  <c r="AD37" i="2"/>
  <c r="AC37" i="2"/>
  <c r="Z37" i="2"/>
  <c r="Y37" i="2"/>
  <c r="AB37" i="2" s="1"/>
  <c r="AA37" i="2" s="1"/>
  <c r="X37" i="2"/>
  <c r="W37" i="2"/>
  <c r="V37" i="2"/>
  <c r="AF36" i="2"/>
  <c r="AD36" i="2"/>
  <c r="AC36" i="2"/>
  <c r="Z36" i="2"/>
  <c r="Y36" i="2"/>
  <c r="AB36" i="2" s="1"/>
  <c r="AA36" i="2" s="1"/>
  <c r="X36" i="2"/>
  <c r="W36" i="2"/>
  <c r="V36" i="2"/>
  <c r="AF35" i="2"/>
  <c r="AD35" i="2"/>
  <c r="AC35" i="2"/>
  <c r="Z35" i="2"/>
  <c r="Y35" i="2"/>
  <c r="AB35" i="2" s="1"/>
  <c r="AA35" i="2" s="1"/>
  <c r="X35" i="2"/>
  <c r="W35" i="2"/>
  <c r="V35" i="2"/>
  <c r="AF34" i="2"/>
  <c r="AD34" i="2"/>
  <c r="AC34" i="2"/>
  <c r="Z34" i="2"/>
  <c r="Y34" i="2"/>
  <c r="AB34" i="2" s="1"/>
  <c r="AA34" i="2" s="1"/>
  <c r="X34" i="2"/>
  <c r="W34" i="2"/>
  <c r="V34" i="2"/>
  <c r="AF33" i="2"/>
  <c r="AD33" i="2"/>
  <c r="AC33" i="2"/>
  <c r="Z33" i="2"/>
  <c r="Y33" i="2"/>
  <c r="AB33" i="2" s="1"/>
  <c r="AA33" i="2" s="1"/>
  <c r="X33" i="2"/>
  <c r="W33" i="2"/>
  <c r="V33" i="2"/>
  <c r="AF32" i="2"/>
  <c r="AD32" i="2"/>
  <c r="AC32" i="2"/>
  <c r="Z32" i="2"/>
  <c r="Y32" i="2"/>
  <c r="AB32" i="2" s="1"/>
  <c r="AA32" i="2" s="1"/>
  <c r="X32" i="2"/>
  <c r="W32" i="2"/>
  <c r="V32" i="2"/>
  <c r="AF31" i="2"/>
  <c r="AD31" i="2"/>
  <c r="AC31" i="2"/>
  <c r="Z31" i="2"/>
  <c r="Y31" i="2"/>
  <c r="AB31" i="2" s="1"/>
  <c r="AA31" i="2" s="1"/>
  <c r="X31" i="2"/>
  <c r="W31" i="2"/>
  <c r="V31" i="2"/>
  <c r="AF30" i="2"/>
  <c r="AD30" i="2"/>
  <c r="AC30" i="2"/>
  <c r="Z30" i="2"/>
  <c r="Y30" i="2"/>
  <c r="AB30" i="2" s="1"/>
  <c r="AA30" i="2" s="1"/>
  <c r="X30" i="2"/>
  <c r="W30" i="2"/>
  <c r="V30" i="2"/>
  <c r="AF29" i="2"/>
  <c r="AD29" i="2"/>
  <c r="AC29" i="2"/>
  <c r="Z29" i="2"/>
  <c r="Y29" i="2"/>
  <c r="AB29" i="2" s="1"/>
  <c r="AA29" i="2" s="1"/>
  <c r="X29" i="2"/>
  <c r="W29" i="2"/>
  <c r="V29" i="2"/>
  <c r="AF28" i="2"/>
  <c r="AD28" i="2"/>
  <c r="AC28" i="2"/>
  <c r="Z28" i="2"/>
  <c r="Y28" i="2"/>
  <c r="AB28" i="2" s="1"/>
  <c r="AA28" i="2" s="1"/>
  <c r="X28" i="2"/>
  <c r="W28" i="2"/>
  <c r="V28" i="2"/>
  <c r="AF27" i="2"/>
  <c r="AD27" i="2"/>
  <c r="AC27" i="2"/>
  <c r="Z27" i="2"/>
  <c r="Y27" i="2"/>
  <c r="AB27" i="2" s="1"/>
  <c r="AA27" i="2" s="1"/>
  <c r="X27" i="2"/>
  <c r="W27" i="2"/>
  <c r="V27" i="2"/>
  <c r="AF26" i="2"/>
  <c r="AD26" i="2"/>
  <c r="AC26" i="2"/>
  <c r="Z26" i="2"/>
  <c r="Y26" i="2"/>
  <c r="AB26" i="2" s="1"/>
  <c r="AA26" i="2" s="1"/>
  <c r="X26" i="2"/>
  <c r="W26" i="2"/>
  <c r="V26" i="2"/>
  <c r="AF25" i="2"/>
  <c r="AD25" i="2"/>
  <c r="AC25" i="2"/>
  <c r="Z25" i="2"/>
  <c r="Y25" i="2"/>
  <c r="AB25" i="2" s="1"/>
  <c r="AA25" i="2" s="1"/>
  <c r="X25" i="2"/>
  <c r="W25" i="2"/>
  <c r="V25" i="2"/>
  <c r="AF24" i="2"/>
  <c r="AD24" i="2"/>
  <c r="AC24" i="2"/>
  <c r="Z24" i="2"/>
  <c r="Y24" i="2"/>
  <c r="AB24" i="2" s="1"/>
  <c r="AA24" i="2" s="1"/>
  <c r="X24" i="2"/>
  <c r="W24" i="2"/>
  <c r="V24" i="2"/>
  <c r="AF23" i="2"/>
  <c r="AD23" i="2"/>
  <c r="AC23" i="2"/>
  <c r="Z23" i="2"/>
  <c r="Y23" i="2"/>
  <c r="AB23" i="2" s="1"/>
  <c r="AA23" i="2" s="1"/>
  <c r="X23" i="2"/>
  <c r="W23" i="2"/>
  <c r="V23" i="2"/>
  <c r="AF22" i="2"/>
  <c r="AD22" i="2"/>
  <c r="AC22" i="2"/>
  <c r="Z22" i="2"/>
  <c r="Y22" i="2"/>
  <c r="AB22" i="2" s="1"/>
  <c r="AA22" i="2" s="1"/>
  <c r="X22" i="2"/>
  <c r="W22" i="2"/>
  <c r="V22" i="2"/>
  <c r="AF21" i="2"/>
  <c r="AD21" i="2"/>
  <c r="AC21" i="2"/>
  <c r="Z21" i="2"/>
  <c r="Y21" i="2"/>
  <c r="AB21" i="2" s="1"/>
  <c r="AA21" i="2" s="1"/>
  <c r="X21" i="2"/>
  <c r="W21" i="2"/>
  <c r="V21" i="2"/>
  <c r="AF20" i="2"/>
  <c r="AD20" i="2"/>
  <c r="AC20" i="2"/>
  <c r="Z20" i="2"/>
  <c r="Y20" i="2"/>
  <c r="AB20" i="2" s="1"/>
  <c r="AA20" i="2" s="1"/>
  <c r="X20" i="2"/>
  <c r="W20" i="2"/>
  <c r="V20" i="2"/>
  <c r="AF19" i="2"/>
  <c r="AD19" i="2"/>
  <c r="AC19" i="2"/>
  <c r="Z19" i="2"/>
  <c r="Y19" i="2"/>
  <c r="AB19" i="2" s="1"/>
  <c r="AA19" i="2" s="1"/>
  <c r="X19" i="2"/>
  <c r="W19" i="2"/>
  <c r="V19" i="2"/>
  <c r="AF18" i="2"/>
  <c r="AD18" i="2"/>
  <c r="AC18" i="2"/>
  <c r="Z18" i="2"/>
  <c r="Y18" i="2"/>
  <c r="AB18" i="2" s="1"/>
  <c r="AA18" i="2" s="1"/>
  <c r="X18" i="2"/>
  <c r="W18" i="2"/>
  <c r="V18" i="2"/>
  <c r="AF17" i="2"/>
  <c r="AD17" i="2"/>
  <c r="AC17" i="2"/>
  <c r="Z17" i="2"/>
  <c r="Y17" i="2"/>
  <c r="AB17" i="2" s="1"/>
  <c r="AA17" i="2" s="1"/>
  <c r="X17" i="2"/>
  <c r="W17" i="2"/>
  <c r="V17" i="2"/>
  <c r="AF16" i="2"/>
  <c r="AD16" i="2"/>
  <c r="AC16" i="2"/>
  <c r="Z16" i="2"/>
  <c r="Y16" i="2"/>
  <c r="AB16" i="2" s="1"/>
  <c r="AA16" i="2" s="1"/>
  <c r="X16" i="2"/>
  <c r="W16" i="2"/>
  <c r="V16" i="2"/>
  <c r="AF15" i="2"/>
  <c r="AD15" i="2"/>
  <c r="AC15" i="2"/>
  <c r="Z15" i="2"/>
  <c r="Y15" i="2"/>
  <c r="AB15" i="2" s="1"/>
  <c r="AA15" i="2" s="1"/>
  <c r="X15" i="2"/>
  <c r="W15" i="2"/>
  <c r="V15" i="2"/>
  <c r="AF14" i="2"/>
  <c r="AD14" i="2"/>
  <c r="AC14" i="2"/>
  <c r="Z14" i="2"/>
  <c r="Y14" i="2"/>
  <c r="AB14" i="2" s="1"/>
  <c r="AA14" i="2" s="1"/>
  <c r="X14" i="2"/>
  <c r="W14" i="2"/>
  <c r="V14" i="2"/>
  <c r="AF13" i="2"/>
  <c r="AD13" i="2"/>
  <c r="AC13" i="2"/>
  <c r="Z13" i="2"/>
  <c r="Y13" i="2"/>
  <c r="AB13" i="2" s="1"/>
  <c r="AA13" i="2" s="1"/>
  <c r="X13" i="2"/>
  <c r="W13" i="2"/>
  <c r="V13" i="2"/>
  <c r="AF12" i="2"/>
  <c r="AD12" i="2"/>
  <c r="AC12" i="2"/>
  <c r="Z12" i="2"/>
  <c r="Y12" i="2"/>
  <c r="AB12" i="2" s="1"/>
  <c r="AA12" i="2" s="1"/>
  <c r="X12" i="2"/>
  <c r="W12" i="2"/>
  <c r="V12" i="2"/>
  <c r="AF11" i="2"/>
  <c r="AD11" i="2"/>
  <c r="AC11" i="2"/>
  <c r="Z11" i="2"/>
  <c r="Y11" i="2"/>
  <c r="AB11" i="2" s="1"/>
  <c r="AA11" i="2" s="1"/>
  <c r="X11" i="2"/>
  <c r="W11" i="2"/>
  <c r="V11" i="2"/>
  <c r="AF10" i="2"/>
  <c r="AD10" i="2"/>
  <c r="AC10" i="2"/>
  <c r="Z10" i="2"/>
  <c r="Y10" i="2"/>
  <c r="AB10" i="2" s="1"/>
  <c r="AA10" i="2" s="1"/>
  <c r="X10" i="2"/>
  <c r="W10" i="2"/>
  <c r="V10" i="2"/>
  <c r="AF9" i="2"/>
  <c r="AD9" i="2"/>
  <c r="AC9" i="2"/>
  <c r="Z9" i="2"/>
  <c r="Y9" i="2"/>
  <c r="AB9" i="2" s="1"/>
  <c r="AA9" i="2" s="1"/>
  <c r="X9" i="2"/>
  <c r="W9" i="2"/>
  <c r="V9" i="2"/>
  <c r="AF8" i="2"/>
  <c r="AD8" i="2"/>
  <c r="AC8" i="2"/>
  <c r="Z8" i="2"/>
  <c r="Y8" i="2"/>
  <c r="AB8" i="2" s="1"/>
  <c r="AA8" i="2" s="1"/>
  <c r="X8" i="2"/>
  <c r="W8" i="2"/>
  <c r="V8" i="2"/>
  <c r="AF7" i="2"/>
  <c r="AD7" i="2"/>
  <c r="AC7" i="2"/>
  <c r="Z7" i="2"/>
  <c r="Y7" i="2"/>
  <c r="AB7" i="2" s="1"/>
  <c r="AA7" i="2" s="1"/>
  <c r="X7" i="2"/>
  <c r="W7" i="2"/>
  <c r="V7" i="2"/>
  <c r="AF6" i="2"/>
  <c r="AD6" i="2"/>
  <c r="AC6" i="2"/>
  <c r="Z6" i="2"/>
  <c r="Y6" i="2"/>
  <c r="AB6" i="2" s="1"/>
  <c r="AA6" i="2" s="1"/>
  <c r="X6" i="2"/>
  <c r="W6" i="2"/>
  <c r="V6" i="2"/>
  <c r="AF5" i="2"/>
  <c r="AD5" i="2"/>
  <c r="AC5" i="2"/>
  <c r="Z5" i="2"/>
  <c r="Y5" i="2"/>
  <c r="AB5" i="2" s="1"/>
  <c r="AA5" i="2" s="1"/>
  <c r="X5" i="2"/>
  <c r="W5" i="2"/>
  <c r="V5" i="2"/>
  <c r="AF4" i="2"/>
  <c r="AD4" i="2"/>
  <c r="AC4" i="2"/>
  <c r="Z4" i="2"/>
  <c r="Y4" i="2"/>
  <c r="AB4" i="2" s="1"/>
  <c r="AA4" i="2" s="1"/>
  <c r="X4" i="2"/>
  <c r="W4" i="2"/>
  <c r="V4" i="2"/>
  <c r="AF3" i="2"/>
  <c r="AD3" i="2"/>
  <c r="AC3" i="2"/>
  <c r="Z3" i="2"/>
  <c r="Y3" i="2"/>
  <c r="AB3" i="2" s="1"/>
  <c r="AA3" i="2" s="1"/>
  <c r="X3" i="2"/>
  <c r="W3" i="2"/>
  <c r="V3" i="2"/>
  <c r="AF2" i="2"/>
  <c r="AD2" i="2"/>
  <c r="AC2" i="2"/>
  <c r="Z2" i="2"/>
  <c r="Y2" i="2"/>
  <c r="AB2" i="2" s="1"/>
  <c r="AA2" i="2" s="1"/>
  <c r="X2" i="2"/>
  <c r="W2" i="2"/>
  <c r="V2" i="2"/>
</calcChain>
</file>

<file path=xl/sharedStrings.xml><?xml version="1.0" encoding="utf-8"?>
<sst xmlns="http://schemas.openxmlformats.org/spreadsheetml/2006/main" count="25972" uniqueCount="5897">
  <si>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</si>
  <si>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</si>
  <si>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</si>
  <si>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</si>
  <si>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</si>
  <si>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</si>
  <si>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</si>
  <si>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</si>
  <si>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</si>
  <si>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</si>
  <si>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</si>
  <si>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</si>
  <si>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</si>
  <si>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</si>
  <si>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</si>
  <si>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</si>
  <si>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</si>
  <si>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</si>
  <si>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</si>
  <si>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</si>
  <si>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</si>
  <si>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</si>
  <si>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</si>
  <si>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</si>
  <si>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</si>
  <si>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</si>
  <si>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</si>
  <si>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</si>
  <si>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</si>
  <si>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</si>
  <si>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</si>
  <si>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</si>
  <si>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</si>
  <si>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</si>
  <si>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</si>
  <si>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</si>
  <si>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</si>
  <si>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</si>
  <si>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</si>
  <si>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</si>
  <si>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</si>
  <si>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</si>
  <si>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</si>
  <si>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</si>
  <si>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</si>
  <si>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</si>
  <si>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</si>
  <si>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</si>
  <si>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</si>
  <si>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</si>
  <si>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</si>
  <si>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</si>
  <si>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</si>
  <si>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</si>
  <si>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</si>
  <si>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</si>
  <si>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</si>
  <si>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</si>
  <si>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</si>
  <si>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</si>
  <si>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</si>
  <si>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</si>
  <si>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</si>
  <si>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</si>
  <si>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</si>
  <si>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</si>
  <si>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</si>
  <si>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</si>
  <si>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</si>
  <si>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</si>
  <si>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</si>
  <si>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</si>
  <si>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</si>
  <si>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</si>
  <si>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</si>
  <si>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</si>
  <si>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</si>
  <si>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</si>
  <si>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</si>
  <si>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</si>
  <si>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</si>
  <si>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</si>
  <si>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</si>
  <si>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</si>
  <si>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</si>
  <si>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</si>
  <si>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</si>
  <si>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</si>
  <si>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</si>
  <si>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</si>
  <si>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</si>
  <si>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</si>
  <si>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</si>
  <si>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</si>
  <si>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</si>
  <si>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</si>
  <si>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</si>
  <si>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</si>
  <si>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</si>
  <si>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</si>
  <si>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</si>
  <si>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</si>
  <si>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</si>
  <si>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</si>
  <si>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</si>
  <si>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</si>
  <si>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</si>
  <si>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</si>
  <si>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</si>
  <si>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</si>
  <si>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</si>
  <si>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</si>
  <si>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</si>
  <si>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</si>
  <si>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</si>
  <si>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</si>
  <si>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</si>
  <si>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</si>
  <si>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</si>
  <si>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</si>
  <si>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</si>
  <si>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</si>
  <si>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</si>
  <si>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</si>
  <si>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</si>
  <si>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</si>
  <si>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</si>
  <si>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</si>
  <si>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</si>
  <si>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</si>
  <si>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</si>
  <si>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</si>
  <si>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</si>
  <si>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</si>
  <si>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</si>
  <si>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</si>
  <si>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</si>
  <si>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</si>
  <si>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</si>
  <si>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</si>
  <si>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</si>
  <si>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</si>
  <si>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</si>
  <si>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</si>
  <si>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</si>
  <si>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</si>
  <si>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</si>
  <si>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</si>
  <si>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</si>
  <si>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</si>
  <si>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</si>
  <si>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</si>
  <si>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</si>
  <si>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</si>
  <si>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</si>
  <si>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</si>
  <si>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</si>
  <si>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</si>
  <si>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</si>
  <si>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</si>
  <si>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</si>
  <si>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</si>
  <si>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</si>
  <si>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</si>
  <si>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</si>
  <si>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</si>
  <si>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</si>
  <si>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</si>
  <si>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</si>
  <si>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</si>
  <si>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</si>
  <si>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</si>
  <si>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</si>
  <si>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</si>
  <si>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</si>
  <si>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</si>
  <si>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</si>
  <si>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</si>
  <si>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</si>
  <si>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</si>
  <si>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</si>
  <si>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</si>
  <si>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</si>
  <si>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</si>
  <si>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</si>
  <si>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</si>
  <si>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</si>
  <si>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</si>
  <si>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</si>
  <si>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</si>
  <si>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</si>
  <si>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</si>
  <si>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</si>
  <si>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</si>
  <si>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</si>
  <si>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</si>
  <si>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</si>
  <si>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</si>
  <si>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</si>
  <si>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</si>
  <si>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</si>
  <si>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</si>
  <si>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</si>
  <si>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</si>
  <si>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</si>
  <si>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</si>
  <si>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</si>
  <si>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</si>
  <si>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</si>
  <si>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</si>
  <si>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</si>
  <si>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</si>
  <si>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</si>
  <si>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</si>
  <si>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</si>
  <si>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</si>
  <si>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</si>
  <si>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</si>
  <si>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</si>
  <si>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</si>
  <si>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</si>
  <si>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</si>
  <si>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</si>
  <si>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</si>
  <si>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</si>
  <si>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</si>
  <si>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</si>
  <si>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</si>
  <si>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</si>
  <si>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</si>
  <si>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</si>
  <si>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</si>
  <si>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</si>
  <si>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</si>
  <si>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</si>
  <si>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</si>
  <si>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</si>
  <si>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</si>
  <si>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</si>
  <si>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</si>
  <si>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</si>
  <si>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</si>
  <si>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</si>
  <si>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</si>
  <si>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</si>
  <si>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</si>
  <si>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</si>
  <si>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</si>
  <si>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</si>
  <si>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</si>
  <si>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</si>
  <si>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</si>
  <si>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</si>
  <si>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</si>
  <si>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</si>
  <si>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</si>
  <si>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</si>
  <si>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</si>
  <si>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</si>
  <si>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</si>
  <si>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</si>
  <si>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</si>
  <si>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</si>
  <si>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</si>
  <si>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</si>
  <si>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</si>
  <si>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</si>
  <si>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</si>
  <si>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</si>
  <si>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</si>
  <si>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</si>
  <si>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</si>
  <si>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</si>
  <si>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</si>
  <si>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</si>
  <si>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</si>
  <si>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</si>
  <si>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</si>
  <si>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</si>
  <si>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</si>
  <si>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</si>
  <si>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</si>
  <si>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</si>
  <si>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</si>
  <si>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</si>
  <si>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</si>
  <si>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</si>
  <si>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</si>
  <si>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</si>
  <si>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</si>
  <si>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</si>
  <si>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</si>
  <si>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</si>
  <si>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</si>
  <si>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</si>
  <si>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</si>
  <si>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</si>
  <si>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</si>
  <si>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</si>
  <si>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</si>
  <si>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</si>
  <si>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</si>
  <si>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</si>
  <si>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</si>
  <si>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</si>
  <si>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</si>
  <si>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</si>
  <si>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</si>
  <si>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</si>
  <si>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</si>
  <si>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</si>
  <si>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</si>
  <si>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</si>
  <si>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</si>
  <si>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</si>
  <si>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</si>
  <si>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</si>
  <si>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</si>
  <si>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</si>
  <si>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</si>
  <si>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</si>
  <si>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</si>
  <si>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</si>
  <si>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</si>
  <si>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</si>
  <si>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</si>
  <si>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</si>
  <si>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</si>
  <si>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</si>
  <si>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</si>
  <si>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</si>
  <si>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</si>
  <si>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</si>
  <si>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</si>
  <si>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</si>
  <si>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</si>
  <si>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</si>
  <si>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</si>
  <si>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</si>
  <si>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</si>
  <si>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</si>
  <si>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</si>
  <si>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</si>
  <si>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</si>
  <si>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</si>
  <si>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</si>
  <si>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</si>
  <si>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</si>
  <si>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</si>
  <si>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</si>
  <si>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</si>
  <si>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</si>
  <si>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</si>
  <si>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</si>
  <si>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</si>
  <si>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</si>
  <si>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</si>
  <si>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</si>
  <si>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</si>
  <si>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</si>
  <si>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</si>
  <si>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</si>
  <si>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</si>
  <si>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</si>
  <si>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</si>
  <si>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</si>
  <si>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</si>
  <si>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</si>
  <si>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</si>
  <si>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</si>
  <si>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</si>
  <si>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</si>
  <si>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</si>
  <si>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</si>
  <si>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</si>
  <si>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</si>
  <si>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</si>
  <si>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</si>
  <si>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</si>
  <si>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</si>
  <si>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</si>
  <si>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</si>
  <si>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</si>
  <si>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</si>
  <si>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</si>
  <si>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</si>
  <si>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</si>
  <si>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</si>
  <si>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</si>
  <si>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</si>
  <si>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</si>
  <si>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</si>
  <si>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</si>
  <si>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</si>
  <si>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</si>
  <si>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</si>
  <si>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</si>
  <si>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</si>
  <si>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</si>
  <si>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</si>
  <si>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</si>
  <si>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</si>
  <si>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</si>
  <si>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</si>
  <si>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</si>
  <si>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</si>
  <si>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</si>
  <si>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</si>
  <si>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</si>
  <si>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</si>
  <si>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</si>
  <si>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</si>
  <si>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</si>
  <si>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</si>
  <si>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</si>
  <si>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</si>
  <si>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</si>
  <si>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</si>
  <si>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</si>
  <si>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</si>
  <si>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</si>
  <si>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</si>
  <si>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</si>
  <si>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</si>
  <si>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</si>
  <si>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</si>
  <si>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</si>
  <si>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</si>
  <si>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</si>
  <si>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</si>
  <si>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</si>
  <si>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</si>
  <si>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</si>
  <si>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</si>
  <si>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</si>
  <si>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</si>
  <si>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</si>
  <si>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</si>
  <si>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</si>
  <si>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</si>
  <si>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</si>
  <si>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</si>
  <si>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</si>
  <si>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</si>
  <si>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</si>
  <si>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</si>
  <si>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</si>
  <si>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</si>
  <si>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</si>
  <si>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</si>
  <si>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</si>
  <si>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</si>
  <si>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</si>
  <si>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</si>
  <si>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</si>
  <si>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</si>
  <si>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</si>
  <si>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</si>
  <si>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</si>
  <si>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</si>
  <si>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</si>
  <si>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</si>
  <si>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</si>
  <si>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</si>
  <si>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</si>
  <si>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</si>
  <si>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</si>
  <si>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</si>
  <si>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</si>
  <si>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</si>
  <si>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</si>
  <si>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</si>
  <si>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</si>
  <si>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</si>
  <si>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</si>
  <si>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</si>
  <si>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</si>
  <si>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</si>
  <si>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</si>
  <si>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</si>
  <si>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</si>
  <si>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</si>
  <si>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</si>
  <si>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</si>
  <si>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</si>
  <si>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</si>
  <si>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</si>
  <si>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</si>
  <si>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</si>
  <si>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</si>
  <si>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</si>
  <si>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</si>
  <si>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</si>
  <si>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</si>
  <si>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</si>
  <si>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</si>
  <si>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</si>
  <si>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</si>
  <si>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</si>
  <si>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</si>
  <si>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</si>
  <si>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</si>
  <si>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</si>
  <si>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</si>
  <si>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</si>
  <si>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</si>
  <si>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</si>
  <si>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</si>
  <si>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</si>
  <si>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</si>
  <si>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</si>
  <si>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</si>
  <si>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</si>
  <si>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</si>
  <si>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</si>
  <si>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</si>
  <si>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</si>
  <si>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</si>
  <si>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</si>
  <si>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</si>
  <si>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</si>
  <si>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</si>
  <si>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</si>
  <si>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</si>
  <si>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</si>
  <si>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</si>
  <si>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</si>
  <si>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</si>
  <si>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</si>
  <si>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</si>
  <si>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</si>
  <si>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</si>
  <si>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</si>
  <si>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</si>
  <si>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</si>
  <si>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</si>
  <si>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</si>
  <si>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</si>
  <si>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</si>
  <si>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</si>
  <si>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</si>
  <si>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</si>
  <si>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</si>
  <si>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</si>
  <si>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</si>
  <si>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</si>
  <si>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</si>
  <si>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</si>
  <si>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</si>
  <si>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</si>
  <si>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</si>
  <si>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</si>
  <si>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</si>
  <si>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</si>
  <si>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</si>
  <si>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</si>
  <si>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</si>
  <si>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</si>
  <si>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</si>
  <si>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</si>
  <si>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</si>
  <si>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</si>
  <si>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</si>
  <si>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</si>
  <si>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</si>
  <si>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</si>
  <si>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</si>
  <si>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</si>
  <si>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</si>
  <si>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</si>
  <si>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</si>
  <si>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</si>
  <si>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</si>
  <si>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</si>
  <si>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</si>
  <si>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</si>
  <si>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</si>
  <si>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</si>
  <si>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</si>
  <si>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</si>
  <si>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</si>
  <si>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</si>
  <si>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</si>
  <si>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</si>
  <si>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</si>
  <si>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</si>
  <si>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</si>
  <si>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</si>
  <si>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</si>
  <si>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</si>
  <si>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</si>
  <si>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</si>
  <si>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</si>
  <si>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</si>
  <si>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</si>
  <si>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</si>
  <si>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</si>
  <si>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</si>
  <si>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</si>
  <si>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</si>
  <si>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</si>
  <si>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</si>
  <si>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</si>
  <si>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</si>
  <si>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</si>
  <si>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</si>
  <si>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</si>
  <si>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</si>
  <si>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</si>
  <si>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</si>
  <si>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</si>
  <si>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</si>
  <si>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</si>
  <si>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</si>
  <si>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</si>
  <si>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</si>
  <si>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</si>
  <si>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</si>
  <si>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</si>
  <si>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</si>
  <si>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</si>
  <si>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</si>
  <si>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</si>
  <si>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</si>
  <si>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</si>
  <si>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</si>
  <si>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</si>
  <si>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</si>
  <si>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</si>
  <si>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</si>
  <si>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</si>
  <si>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</si>
  <si>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</si>
  <si>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</si>
  <si>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</si>
  <si>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</si>
  <si>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</si>
  <si>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</si>
  <si>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</si>
  <si>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</si>
  <si>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</si>
  <si>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</si>
  <si>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</si>
  <si>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</si>
  <si>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</si>
  <si>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</si>
  <si>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</si>
  <si>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</si>
  <si>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</si>
  <si>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</si>
  <si>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</si>
  <si>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</si>
  <si>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</si>
  <si>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</si>
  <si>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</si>
  <si>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</si>
  <si>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</si>
  <si>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</si>
  <si>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</si>
  <si>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</si>
  <si>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</si>
  <si>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</si>
  <si>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</si>
  <si>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</si>
  <si>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</si>
  <si>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</si>
  <si>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</si>
  <si>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</si>
  <si>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</si>
  <si>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</si>
  <si>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</si>
  <si>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</si>
  <si>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</si>
  <si>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</si>
  <si>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</si>
  <si>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</si>
  <si>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</si>
  <si>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</si>
  <si>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</si>
  <si>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</si>
  <si>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</si>
  <si>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</si>
  <si>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</si>
  <si>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</si>
  <si>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</si>
  <si>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</si>
  <si>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</si>
  <si>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</si>
  <si>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</si>
  <si>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</si>
  <si>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</si>
  <si>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</si>
  <si>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</si>
  <si>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</si>
  <si>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</si>
  <si>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</si>
  <si>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</si>
  <si>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</si>
  <si>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</si>
  <si>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</si>
  <si>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</si>
  <si>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</si>
  <si>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</si>
  <si>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</si>
  <si>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</si>
  <si>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</si>
  <si>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</si>
  <si>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</si>
  <si>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</si>
  <si>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</si>
  <si>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</si>
  <si>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</si>
  <si>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</si>
  <si>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</si>
  <si>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</si>
  <si>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</si>
  <si>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</si>
  <si>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</si>
  <si>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</si>
  <si>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</si>
  <si>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</si>
  <si>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</si>
  <si>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</si>
  <si>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</si>
  <si>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</si>
  <si>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</si>
  <si>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</si>
  <si>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</si>
  <si>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</si>
  <si>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</si>
  <si>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</si>
  <si>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</si>
  <si>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</si>
  <si>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</si>
  <si>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</si>
  <si>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</si>
  <si>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</si>
  <si>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</si>
  <si>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</si>
  <si>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</si>
  <si>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</si>
  <si>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</si>
  <si>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</si>
  <si>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</si>
  <si>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</si>
  <si>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</si>
  <si>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</si>
  <si>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</si>
  <si>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</si>
  <si>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</si>
  <si>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</si>
  <si>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</si>
  <si>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</si>
  <si>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</si>
  <si>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</si>
  <si>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</si>
  <si>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</si>
  <si>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</si>
  <si>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</si>
  <si>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</si>
  <si>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</si>
  <si>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</si>
  <si>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</si>
  <si>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</si>
  <si>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</si>
  <si>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</si>
  <si>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</si>
  <si>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</si>
  <si>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</si>
  <si>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</si>
  <si>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</si>
  <si>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</si>
  <si>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</si>
  <si>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</si>
  <si>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</si>
  <si>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</si>
  <si>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</si>
  <si>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</si>
  <si>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</si>
  <si>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</si>
  <si>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</si>
  <si>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</si>
  <si>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</si>
  <si>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</si>
  <si>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</si>
  <si>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</si>
  <si>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</si>
  <si>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</si>
  <si>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</si>
  <si>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</si>
  <si>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</si>
  <si>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</si>
  <si>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</si>
  <si>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</si>
  <si>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</si>
  <si>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</si>
  <si>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</si>
  <si>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</si>
  <si>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</si>
  <si>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</si>
  <si>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</si>
  <si>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</si>
  <si>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</si>
  <si>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</si>
  <si>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</si>
  <si>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</si>
  <si>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</si>
  <si>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</si>
  <si>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</si>
  <si>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</si>
  <si>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</si>
  <si>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</si>
  <si>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</si>
  <si>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</si>
  <si>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</si>
  <si>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</si>
  <si>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</si>
  <si>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</si>
  <si>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</si>
  <si>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</si>
  <si>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</si>
  <si>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</si>
  <si>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</si>
  <si>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</si>
  <si>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</si>
  <si>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</si>
  <si>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</si>
  <si>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</si>
  <si>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</si>
  <si>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</si>
  <si>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</si>
  <si>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</si>
  <si>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</si>
  <si>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</si>
  <si>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</si>
  <si>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</si>
  <si>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</si>
  <si>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</si>
  <si>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</si>
  <si>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</si>
  <si>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</si>
  <si>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</si>
  <si>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</si>
  <si>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</si>
  <si>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</si>
  <si>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</si>
  <si>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</si>
  <si>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</si>
  <si>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</si>
  <si>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</si>
  <si>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</si>
  <si>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</si>
  <si>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</si>
  <si>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</si>
  <si>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</si>
  <si>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</si>
  <si>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</si>
  <si>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</si>
  <si>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</si>
  <si>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</si>
  <si>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</si>
  <si>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</si>
  <si>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</si>
  <si>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</si>
  <si>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</si>
  <si>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</si>
  <si>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</si>
  <si>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</si>
  <si>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</si>
  <si>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</si>
  <si>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</si>
  <si>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</si>
  <si>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</si>
  <si>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</si>
  <si>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</si>
  <si>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</si>
  <si>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</si>
  <si>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</si>
  <si>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</si>
  <si>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</si>
  <si>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</si>
  <si>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</si>
  <si>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</si>
  <si>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</si>
  <si>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</si>
  <si>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</si>
  <si>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</si>
  <si>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</si>
  <si>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</si>
  <si>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</si>
  <si>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</si>
  <si>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</si>
  <si>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</si>
  <si>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</si>
  <si>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</si>
  <si>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</si>
  <si>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</si>
  <si>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</si>
  <si>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</si>
  <si>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</si>
  <si>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</si>
  <si>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</si>
  <si>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</si>
  <si>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</si>
  <si>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</si>
  <si>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</si>
  <si>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</si>
  <si>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</si>
  <si>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</si>
  <si>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</si>
  <si>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</si>
  <si>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</si>
  <si>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</si>
  <si>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</si>
  <si>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</si>
  <si>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</si>
  <si>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</si>
  <si>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</si>
  <si>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</si>
  <si>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</si>
  <si>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</si>
  <si>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</si>
  <si>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</si>
  <si>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</si>
  <si>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</si>
  <si>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</si>
  <si>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</si>
  <si>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</si>
  <si>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</si>
  <si>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</si>
  <si>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</si>
  <si>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</si>
  <si>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</si>
  <si>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</si>
  <si>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</si>
  <si>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</si>
  <si>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</si>
  <si>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</si>
  <si>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</si>
  <si>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</si>
  <si>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</si>
  <si>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</si>
  <si>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</si>
  <si>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</si>
  <si>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</si>
  <si>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</si>
  <si>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</si>
  <si>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</si>
  <si>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</si>
  <si>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</si>
  <si>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</si>
  <si>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</si>
  <si>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</si>
  <si>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</si>
  <si>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</si>
  <si>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</si>
  <si>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</si>
  <si>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</si>
  <si>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</si>
  <si>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</si>
  <si>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</si>
  <si>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</si>
  <si>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</si>
  <si>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</si>
  <si>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</si>
  <si>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</si>
  <si>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</si>
  <si>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</si>
  <si>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</si>
  <si>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</si>
  <si>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</si>
  <si>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</si>
  <si>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</si>
  <si>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</si>
  <si>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</si>
  <si>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</si>
  <si>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</si>
  <si>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</si>
  <si>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</si>
  <si>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</si>
  <si>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</si>
  <si>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</si>
  <si>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</si>
  <si>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</si>
  <si>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</si>
  <si>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</si>
  <si>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</si>
  <si>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</si>
  <si>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</si>
  <si>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</si>
  <si>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</si>
  <si>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</si>
  <si>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</si>
  <si>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</si>
  <si>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</si>
  <si>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</si>
  <si>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</si>
  <si>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</si>
  <si>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</si>
  <si>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</si>
  <si>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</si>
  <si>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</si>
  <si>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</si>
  <si>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</si>
  <si>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</si>
  <si>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</si>
  <si>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</si>
  <si>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</si>
  <si>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</si>
  <si>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</si>
  <si>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</si>
  <si>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</si>
  <si>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</si>
  <si>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</si>
  <si>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</si>
  <si>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</si>
  <si>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</si>
  <si>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</si>
  <si>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</si>
  <si>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</si>
  <si>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</si>
  <si>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</si>
  <si>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</si>
  <si>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</si>
  <si>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</si>
  <si>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</si>
  <si>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</si>
  <si>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</si>
  <si>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</si>
  <si>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</si>
  <si>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</si>
  <si>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</si>
  <si>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</si>
  <si>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</si>
  <si>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</si>
  <si>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</si>
  <si>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</si>
  <si>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</si>
  <si>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</si>
  <si>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</si>
  <si>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</si>
  <si>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</si>
  <si>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</si>
  <si>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</si>
  <si>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</si>
  <si>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</si>
  <si>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</si>
  <si>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</si>
  <si>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</si>
  <si>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</si>
  <si>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</si>
  <si>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</si>
  <si>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</si>
  <si>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</si>
  <si>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</si>
  <si>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</si>
  <si>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</si>
  <si>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</si>
  <si>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</si>
  <si>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</si>
  <si>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</si>
  <si>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</si>
  <si>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</si>
  <si>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</si>
  <si>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</si>
  <si>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</si>
  <si>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</si>
  <si>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</si>
  <si>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</si>
  <si>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</si>
  <si>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</si>
  <si>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</si>
  <si>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</si>
  <si>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</si>
  <si>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</si>
  <si>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</si>
  <si>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</si>
  <si>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</si>
  <si>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</si>
  <si>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</si>
  <si>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</si>
  <si>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</si>
  <si>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</si>
  <si>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</si>
  <si>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</si>
  <si>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</si>
  <si>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</si>
  <si>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</si>
  <si>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</si>
  <si>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</si>
  <si>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</si>
  <si>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</si>
  <si>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</si>
  <si>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</si>
  <si>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</si>
  <si>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</si>
  <si>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</si>
  <si>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</si>
  <si>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</si>
  <si>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</si>
  <si>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</si>
  <si>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</si>
  <si>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</si>
  <si>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</si>
  <si>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</si>
  <si>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</si>
  <si>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</si>
  <si>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</si>
  <si>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</si>
  <si>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</si>
  <si>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</si>
  <si>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</si>
  <si>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</si>
  <si>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</si>
  <si>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</si>
  <si>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</si>
  <si>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</si>
  <si>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</si>
  <si>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</si>
  <si>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</si>
  <si>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</si>
  <si>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</si>
  <si>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</si>
  <si>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</si>
  <si>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</si>
  <si>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</si>
  <si>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</si>
  <si>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</si>
  <si>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</si>
  <si>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</si>
  <si>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</si>
  <si>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</si>
  <si>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</si>
  <si>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</si>
  <si>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</si>
  <si>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</si>
  <si>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</si>
  <si>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</si>
  <si>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</si>
  <si>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</si>
  <si>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</si>
  <si>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</si>
  <si>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</si>
  <si>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</si>
  <si>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</si>
  <si>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</si>
  <si>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</si>
  <si>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</si>
  <si>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</si>
  <si>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</si>
  <si>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</si>
  <si>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</si>
  <si>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</si>
  <si>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</si>
  <si>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</si>
  <si>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</si>
  <si>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</si>
  <si>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</si>
  <si>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</si>
  <si>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</si>
  <si>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</si>
  <si>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</si>
  <si>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</si>
  <si>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</si>
  <si>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</si>
  <si>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</si>
  <si>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</si>
  <si>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</si>
  <si>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</si>
  <si>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</si>
  <si>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</si>
  <si>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</si>
  <si>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</si>
  <si>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</si>
  <si>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</si>
  <si>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</si>
  <si>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</si>
  <si>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</si>
  <si>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</si>
  <si>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</si>
  <si>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</si>
  <si>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</si>
  <si>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</si>
  <si>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</si>
  <si>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</si>
  <si>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</si>
  <si>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</si>
  <si>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</si>
  <si>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</si>
  <si>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</si>
  <si>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</si>
  <si>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</si>
  <si>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</si>
  <si>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</si>
  <si>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</si>
  <si>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</si>
  <si>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</si>
  <si>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</si>
  <si>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</si>
  <si>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</si>
  <si>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</si>
  <si>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</si>
  <si>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</si>
  <si>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</si>
  <si>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</si>
  <si>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</si>
  <si>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</si>
  <si>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</si>
  <si>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</si>
  <si>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</si>
  <si>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</si>
  <si>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</si>
  <si>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</si>
  <si>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</si>
  <si>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</si>
  <si>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</si>
  <si>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</si>
  <si>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</si>
  <si>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</si>
  <si>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</si>
  <si>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</si>
  <si>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</si>
  <si>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</si>
  <si>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</si>
  <si>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</si>
  <si>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</si>
  <si>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</si>
  <si>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</si>
  <si>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</si>
  <si>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</si>
  <si>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</si>
  <si>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</si>
  <si>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</si>
  <si>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</si>
  <si>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</si>
  <si>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</si>
  <si>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</si>
  <si>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</si>
  <si>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</si>
  <si>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</si>
  <si>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</si>
  <si>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</si>
  <si>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</si>
  <si>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</si>
  <si>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</si>
  <si>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</si>
  <si>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</si>
  <si>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</si>
  <si>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</si>
  <si>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</si>
  <si>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</si>
  <si>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</si>
  <si>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</si>
  <si>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</si>
  <si>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</si>
  <si>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</si>
  <si>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</si>
  <si>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</si>
  <si>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</si>
  <si>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</si>
  <si>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</si>
  <si>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</si>
  <si>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</si>
  <si>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</si>
  <si>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</si>
  <si>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</si>
  <si>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</si>
  <si>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</si>
  <si>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</si>
  <si>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</si>
  <si>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</si>
  <si>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</si>
  <si>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</si>
  <si>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</si>
  <si>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</si>
  <si>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</si>
  <si>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</si>
  <si>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</si>
  <si>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</si>
  <si>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</si>
  <si>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</si>
  <si>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</si>
  <si>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</si>
  <si>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</si>
  <si>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</si>
  <si>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</si>
  <si>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</si>
  <si>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</si>
  <si>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</si>
  <si>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</si>
  <si>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</si>
  <si>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</si>
  <si>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</si>
  <si>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</si>
  <si>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</si>
  <si>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</si>
  <si>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</si>
  <si>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</si>
  <si>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</si>
  <si>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</si>
  <si>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</si>
  <si>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</si>
  <si>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</si>
  <si>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</si>
  <si>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</si>
  <si>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</si>
  <si>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</si>
  <si>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</si>
  <si>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</si>
  <si>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</si>
  <si>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</si>
  <si>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</si>
  <si>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</si>
  <si>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</si>
  <si>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</si>
  <si>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</si>
  <si>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</si>
  <si>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</si>
  <si>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</si>
  <si>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</si>
  <si>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</si>
  <si>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</si>
  <si>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</si>
  <si>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</si>
  <si>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</si>
  <si>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</si>
  <si>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</si>
  <si>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</si>
  <si>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</si>
  <si>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</si>
  <si>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</si>
  <si>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</si>
  <si>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</si>
  <si>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</si>
  <si>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</si>
  <si>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</si>
  <si>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</si>
  <si>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</si>
  <si>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</si>
  <si>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</si>
  <si>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</si>
  <si>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</si>
  <si>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</si>
  <si>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</si>
  <si>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</si>
  <si>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</si>
  <si>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</si>
  <si>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</si>
  <si>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</si>
  <si>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</si>
  <si>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</si>
  <si>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</si>
  <si>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</si>
  <si>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</si>
  <si>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</si>
  <si>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</si>
  <si>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</si>
  <si>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</si>
  <si>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</si>
  <si>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</si>
  <si>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</si>
  <si>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</si>
  <si>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</si>
  <si>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</si>
  <si>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</si>
  <si>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</si>
  <si>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</si>
  <si>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</si>
  <si>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</si>
  <si>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</si>
  <si>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</si>
  <si>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</si>
  <si>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</si>
  <si>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</si>
  <si>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</si>
  <si>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</si>
  <si>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</si>
  <si>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</si>
  <si>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</si>
  <si>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</si>
  <si>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</si>
  <si>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</si>
  <si>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</si>
  <si>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</si>
  <si>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</si>
  <si>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</si>
  <si>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</si>
  <si>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</si>
  <si>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</si>
  <si>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</si>
  <si>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</si>
  <si>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</si>
  <si>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</si>
  <si>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</si>
  <si>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</si>
  <si>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</si>
  <si>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</si>
  <si>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</si>
  <si>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</si>
  <si>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</si>
  <si>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</si>
  <si>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</si>
  <si>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</si>
  <si>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</si>
  <si>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</si>
  <si>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</si>
  <si>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</si>
  <si>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</si>
  <si>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</si>
  <si>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</si>
  <si>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</si>
  <si>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</si>
  <si>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</si>
  <si>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</si>
  <si>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</si>
  <si>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</si>
  <si>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</si>
  <si>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</si>
  <si>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</si>
  <si>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</si>
  <si>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</si>
  <si>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</si>
  <si>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</si>
  <si>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</si>
  <si>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</si>
  <si>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</si>
  <si>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</si>
  <si>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</si>
  <si>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</si>
  <si>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</si>
  <si>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</si>
  <si>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</si>
  <si>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</si>
  <si>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</si>
  <si>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</si>
  <si>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</si>
  <si>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</si>
  <si>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</si>
  <si>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</si>
  <si>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</si>
  <si>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</si>
  <si>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</si>
  <si>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</si>
  <si>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</si>
  <si>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</si>
  <si>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</si>
  <si>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</si>
  <si>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</si>
  <si>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</si>
  <si>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</si>
  <si>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</si>
  <si>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</si>
  <si>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</si>
  <si>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</si>
  <si>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</si>
  <si>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</si>
  <si>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</si>
  <si>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</si>
  <si>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</si>
  <si>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</si>
  <si>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</si>
  <si>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</si>
  <si>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</si>
  <si>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</si>
  <si>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</si>
  <si>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</si>
  <si>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</si>
  <si>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</si>
  <si>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</si>
  <si>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</si>
  <si>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</si>
  <si>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</si>
  <si>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</si>
  <si>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</si>
  <si>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</si>
  <si>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</si>
  <si>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</si>
  <si>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</si>
  <si>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</si>
  <si>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</si>
  <si>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</si>
  <si>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</si>
  <si>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</si>
  <si>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</si>
  <si>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</si>
  <si>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</si>
  <si>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</si>
  <si>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</si>
  <si>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</si>
  <si>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</si>
  <si>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</si>
  <si>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</si>
  <si>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</si>
  <si>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</si>
  <si>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</si>
  <si>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</si>
  <si>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</si>
  <si>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</si>
  <si>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</si>
  <si>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</si>
  <si>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</si>
  <si>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</si>
  <si>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</si>
  <si>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</si>
  <si>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</si>
  <si>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</si>
  <si>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</si>
  <si>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</si>
  <si>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</si>
  <si>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</si>
  <si>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</si>
  <si>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</si>
  <si>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</si>
  <si>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</si>
  <si>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</si>
  <si>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</si>
  <si>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</si>
  <si>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</si>
  <si>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</si>
  <si>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</si>
  <si>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</si>
  <si>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</si>
  <si>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</si>
  <si>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</si>
  <si>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</si>
  <si>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</si>
  <si>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</si>
  <si>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</si>
  <si>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</si>
  <si>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</si>
  <si>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</si>
  <si>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</si>
  <si>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</si>
  <si>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</si>
  <si>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</si>
  <si>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</si>
  <si>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</si>
  <si>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</si>
  <si>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</si>
  <si>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</si>
  <si>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</si>
  <si>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</si>
  <si>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</si>
  <si>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</si>
  <si>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</si>
  <si>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</si>
  <si>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</si>
  <si>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</si>
  <si>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</si>
  <si>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</si>
  <si>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</si>
  <si>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</si>
  <si>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</si>
  <si>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</si>
  <si>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</si>
  <si>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</si>
  <si>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</si>
  <si>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</si>
  <si>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</si>
  <si>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</si>
  <si>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</si>
  <si>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</si>
  <si>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</si>
  <si>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</si>
  <si>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</si>
  <si>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</si>
  <si>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</si>
  <si>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</si>
  <si>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</si>
  <si>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</si>
  <si>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</si>
  <si>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</si>
  <si>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</si>
  <si>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</si>
  <si>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</si>
  <si>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</si>
  <si>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</si>
  <si>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</si>
  <si>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</si>
  <si>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</si>
  <si>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</si>
  <si>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</si>
  <si>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</si>
  <si>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</si>
  <si>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</si>
  <si>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</si>
  <si>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</si>
  <si>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</si>
  <si>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</si>
  <si>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</si>
  <si>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</si>
  <si>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</si>
  <si>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</si>
  <si>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</si>
  <si>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</si>
  <si>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</si>
  <si>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</si>
  <si>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</si>
  <si>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</si>
  <si>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</si>
  <si>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</si>
  <si>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</si>
  <si>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</si>
  <si>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</si>
  <si>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</si>
  <si>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</si>
  <si>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</si>
  <si>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</si>
  <si>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</si>
  <si>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</si>
  <si>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</si>
  <si>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</si>
  <si>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</si>
  <si>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</si>
  <si>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</si>
  <si>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</si>
  <si>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</si>
  <si>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</si>
  <si>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</si>
  <si>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</si>
  <si>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</si>
  <si>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</si>
  <si>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</si>
  <si>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</si>
  <si>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</si>
  <si>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</si>
  <si>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</si>
  <si>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</si>
  <si>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</si>
  <si>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</si>
  <si>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</si>
  <si>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</si>
  <si>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</si>
  <si>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</si>
  <si>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</si>
  <si>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</si>
  <si>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</si>
  <si>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</si>
  <si>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</si>
  <si>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</si>
  <si>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</si>
  <si>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</si>
  <si>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</si>
  <si>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</si>
  <si>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</si>
  <si>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</si>
  <si>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</si>
  <si>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</si>
  <si>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</si>
  <si>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</si>
  <si>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</si>
  <si>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</si>
  <si>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</si>
  <si>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</si>
  <si>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</si>
  <si>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</si>
  <si>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</si>
  <si>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</si>
  <si>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</si>
  <si>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</si>
  <si>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</si>
  <si>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</si>
  <si>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</si>
  <si>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</si>
  <si>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</si>
  <si>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</si>
  <si>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</si>
  <si>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</si>
  <si>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</si>
  <si>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</si>
  <si>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</si>
  <si>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</si>
  <si>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</si>
  <si>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</si>
  <si>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</si>
  <si>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</si>
  <si>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</si>
  <si>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</si>
  <si>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</si>
  <si>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</si>
  <si>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</si>
  <si>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</si>
  <si>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</si>
  <si>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</si>
  <si>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</si>
  <si>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</si>
  <si>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</si>
  <si>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</si>
  <si>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</si>
  <si>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</si>
  <si>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</si>
  <si>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</si>
  <si>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</si>
  <si>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</si>
  <si>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</si>
  <si>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</si>
  <si>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</si>
  <si>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</si>
  <si>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</si>
  <si>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</si>
  <si>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</si>
  <si>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</si>
  <si>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</si>
  <si>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</si>
  <si>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</si>
  <si>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</si>
  <si>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</si>
  <si>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</si>
  <si>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</si>
  <si>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</si>
  <si>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</si>
  <si>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</si>
  <si>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</si>
  <si>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</si>
  <si>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</si>
  <si>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</si>
  <si>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</si>
  <si>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</si>
  <si>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</si>
  <si>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</si>
  <si>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</si>
  <si>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</si>
  <si>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</si>
  <si>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</si>
  <si>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</si>
  <si>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</si>
  <si>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</si>
  <si>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</si>
  <si>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</si>
  <si>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</si>
  <si>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</si>
  <si>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</si>
  <si>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</si>
  <si>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</si>
  <si>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</si>
  <si>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</si>
  <si>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</si>
  <si>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</si>
  <si>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</si>
  <si>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</si>
  <si>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</si>
  <si>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</si>
  <si>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</si>
  <si>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</si>
  <si>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</si>
  <si>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</si>
  <si>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</si>
  <si>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</si>
  <si>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</si>
  <si>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</si>
  <si>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</si>
  <si>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</si>
  <si>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</si>
  <si>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</si>
  <si>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</si>
  <si>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</si>
  <si>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</si>
  <si>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</si>
  <si>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</si>
  <si>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</si>
  <si>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</si>
  <si>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</si>
  <si>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</si>
  <si>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</si>
  <si>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</si>
  <si>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</si>
  <si>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</si>
  <si>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</si>
  <si>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</si>
  <si>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</si>
  <si>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</si>
  <si>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</si>
  <si>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</si>
  <si>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</si>
  <si>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</si>
  <si>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</si>
  <si>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</si>
  <si>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</si>
  <si>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</si>
  <si>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</si>
  <si>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</si>
  <si>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</si>
  <si>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</si>
  <si>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</si>
  <si>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</si>
  <si>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</si>
  <si>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</si>
  <si>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</si>
  <si>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</si>
  <si>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</si>
  <si>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</si>
  <si>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</si>
  <si>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</si>
  <si>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</si>
  <si>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</si>
  <si>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</si>
  <si>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</si>
  <si>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</si>
  <si>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</si>
  <si>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</si>
  <si>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</si>
  <si>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</si>
  <si>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</si>
  <si>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</si>
  <si>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</si>
  <si>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</si>
  <si>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</si>
  <si>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</si>
  <si>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</si>
  <si>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</si>
  <si>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</si>
  <si>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</si>
  <si>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</si>
  <si>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</si>
  <si>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</si>
  <si>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</si>
  <si>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</si>
  <si>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</si>
  <si>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</si>
  <si>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</si>
  <si>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</si>
  <si>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</si>
  <si>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</si>
  <si>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</si>
  <si>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</si>
  <si>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</si>
  <si>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</si>
  <si>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</si>
  <si>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</si>
  <si>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</si>
  <si>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</si>
  <si>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</si>
  <si>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</si>
  <si>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</si>
  <si>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</si>
  <si>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</si>
  <si>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</si>
  <si>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</si>
  <si>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</si>
  <si>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</si>
  <si>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</si>
  <si>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</si>
  <si>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</si>
  <si>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</si>
  <si>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</si>
  <si>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</si>
  <si>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</si>
  <si>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</si>
  <si>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</si>
  <si>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</si>
  <si>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</si>
  <si>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</si>
  <si>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</si>
  <si>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</si>
  <si>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</si>
  <si>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</si>
  <si>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</si>
  <si>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</si>
  <si>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</si>
  <si>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</si>
  <si>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</si>
  <si>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</si>
  <si>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</si>
  <si>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</si>
  <si>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</si>
  <si>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</si>
  <si>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</si>
  <si>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</si>
  <si>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</si>
  <si>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</si>
  <si>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</si>
  <si>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</si>
  <si>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</si>
  <si>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</si>
  <si>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</si>
  <si>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</si>
  <si>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</si>
  <si>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</si>
  <si>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</si>
  <si>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</si>
  <si>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</si>
  <si>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</si>
  <si>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</si>
  <si>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</si>
  <si>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</si>
  <si>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</si>
  <si>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</si>
  <si>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</si>
  <si>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</si>
  <si>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</si>
  <si>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</si>
  <si>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</si>
  <si>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</si>
  <si>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</si>
  <si>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</si>
  <si>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</si>
  <si>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</si>
  <si>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</si>
  <si>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</si>
  <si>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</si>
  <si>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</si>
  <si>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</si>
  <si>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</si>
  <si>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</si>
  <si>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</si>
  <si>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</si>
  <si>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</si>
  <si>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</si>
  <si>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</si>
  <si>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</si>
  <si>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</si>
  <si>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</si>
  <si>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</si>
  <si>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</si>
  <si>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</si>
  <si>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</si>
  <si>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</si>
  <si>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</si>
  <si>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</si>
  <si>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</si>
  <si>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</si>
  <si>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</si>
  <si>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</si>
  <si>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</si>
  <si>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</si>
  <si>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</si>
  <si>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</si>
  <si>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</si>
  <si>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</si>
  <si>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</si>
  <si>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</si>
  <si>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</si>
  <si>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</si>
  <si>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</si>
  <si>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</si>
  <si>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</si>
  <si>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</si>
  <si>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</si>
  <si>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</si>
  <si>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</si>
  <si>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</si>
  <si>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</si>
  <si>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</si>
  <si>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</si>
  <si>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</si>
  <si>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</si>
  <si>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</si>
  <si>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</si>
  <si>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</si>
  <si>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</si>
  <si>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</si>
  <si>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</si>
  <si>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</si>
  <si>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</si>
  <si>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</si>
  <si>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</si>
  <si>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</si>
  <si>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</si>
  <si>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</si>
  <si>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</si>
  <si>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</si>
  <si>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</si>
  <si>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</si>
  <si>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</si>
  <si>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</si>
  <si>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</si>
  <si>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</si>
  <si>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</si>
  <si>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</si>
  <si>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</si>
  <si>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</si>
  <si>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</si>
  <si>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</si>
  <si>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</si>
  <si>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</si>
  <si>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</si>
  <si>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</si>
  <si>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</si>
  <si>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</si>
  <si>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</si>
  <si>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</si>
  <si>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</si>
  <si>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</si>
  <si>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</si>
  <si>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</si>
  <si>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</si>
  <si>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</si>
  <si>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</si>
  <si>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</si>
  <si>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</si>
  <si>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</si>
  <si>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</si>
  <si>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</si>
  <si>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</si>
  <si>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</si>
  <si>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</si>
  <si>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</si>
  <si>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</si>
  <si>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</si>
  <si>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</si>
  <si>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</si>
  <si>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</si>
  <si>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</si>
  <si>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</si>
  <si>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</si>
  <si>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</si>
  <si>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</si>
  <si>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</si>
  <si>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</si>
  <si>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</si>
  <si>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</si>
  <si>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</si>
  <si>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</si>
  <si>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</si>
  <si>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</si>
  <si>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</si>
  <si>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</si>
  <si>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</si>
  <si>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</si>
  <si>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</si>
  <si>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</si>
  <si>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</si>
  <si>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</si>
  <si>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</si>
  <si>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</si>
  <si>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</si>
  <si>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</si>
  <si>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</si>
  <si>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</si>
  <si>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</si>
  <si>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</si>
  <si>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</si>
  <si>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</si>
  <si>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</si>
  <si>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</si>
  <si>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</si>
  <si>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</si>
  <si>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</si>
  <si>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</si>
  <si>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</si>
  <si>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</si>
  <si>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</si>
  <si>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</si>
  <si>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</si>
  <si>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</si>
  <si>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</si>
  <si>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</si>
  <si>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</si>
  <si>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</si>
  <si>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</si>
  <si>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</si>
  <si>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</si>
  <si>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</si>
  <si>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</si>
  <si>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</si>
  <si>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</si>
  <si>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</si>
  <si>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</si>
  <si>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</si>
  <si>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</si>
  <si>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</si>
  <si>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</si>
  <si>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</si>
  <si>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</si>
  <si>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</si>
  <si>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</si>
  <si>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</si>
  <si>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</si>
  <si>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</si>
  <si>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</si>
  <si>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</si>
  <si>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</si>
  <si>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</si>
  <si>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</si>
  <si>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</si>
  <si>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</si>
  <si>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</si>
  <si>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</si>
  <si>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</si>
  <si>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</si>
  <si>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</si>
  <si>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</si>
  <si>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</si>
  <si>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</si>
  <si>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</si>
  <si>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</si>
  <si>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</si>
  <si>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</si>
  <si>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</si>
  <si>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</si>
  <si>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</si>
  <si>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</si>
  <si>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</si>
  <si>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</si>
  <si>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</si>
  <si>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</si>
  <si>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</si>
  <si>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</si>
  <si>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</si>
  <si>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</si>
  <si>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</si>
  <si>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</si>
  <si>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</si>
  <si>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</si>
  <si>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</si>
  <si>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</si>
  <si>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</si>
  <si>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</si>
  <si>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</si>
  <si>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</si>
  <si>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</si>
  <si>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</si>
  <si>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</si>
  <si>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</si>
  <si>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</si>
  <si>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</si>
  <si>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</si>
  <si>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</si>
  <si>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</si>
  <si>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</si>
  <si>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</si>
  <si>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</si>
  <si>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</si>
  <si>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</si>
  <si>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</si>
  <si>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</si>
  <si>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</si>
  <si>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</si>
  <si>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</si>
  <si>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</si>
  <si>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</si>
  <si>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</si>
  <si>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</si>
  <si>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</si>
  <si>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</si>
  <si>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</si>
  <si>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</si>
  <si>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</si>
  <si>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</si>
  <si>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</si>
  <si>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</si>
  <si>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</si>
  <si>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</si>
  <si>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</si>
  <si>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</si>
  <si>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</si>
  <si>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</si>
  <si>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</si>
  <si>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</si>
  <si>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</si>
  <si>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</si>
  <si>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</si>
  <si>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</si>
  <si>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</si>
  <si>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</si>
  <si>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</si>
  <si>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</si>
  <si>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</si>
  <si>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</si>
  <si>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</si>
  <si>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</si>
  <si>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</si>
  <si>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</si>
  <si>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</si>
  <si>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</si>
  <si>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</si>
  <si>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</si>
  <si>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</si>
  <si>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</si>
  <si>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</si>
  <si>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</si>
  <si>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</si>
  <si>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</si>
  <si>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</si>
  <si>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</si>
  <si>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</si>
  <si>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</si>
  <si>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</si>
  <si>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</si>
  <si>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</si>
  <si>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</si>
  <si>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</si>
  <si>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</si>
  <si>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</si>
  <si>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</si>
  <si>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</si>
  <si>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</si>
  <si>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</si>
  <si>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</si>
  <si>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</si>
  <si>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</si>
  <si>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</si>
  <si>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</si>
  <si>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</si>
  <si>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</si>
  <si>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</si>
  <si>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</si>
  <si>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</si>
  <si>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</si>
  <si>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</si>
  <si>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</si>
  <si>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</si>
  <si>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</si>
  <si>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</si>
  <si>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</si>
  <si>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</si>
  <si>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</si>
  <si>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</si>
  <si>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</si>
  <si>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</si>
  <si>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</si>
  <si>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</si>
  <si>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</si>
  <si>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</si>
  <si>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</si>
  <si>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</si>
  <si>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</si>
  <si>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</si>
  <si>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</si>
  <si>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</si>
  <si>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</si>
  <si>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</si>
  <si>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</si>
  <si>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</si>
  <si>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</si>
  <si>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</si>
  <si>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</si>
  <si>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</si>
  <si>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</si>
  <si>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</si>
  <si>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</si>
  <si>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</si>
  <si>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</si>
  <si>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</si>
  <si>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</si>
  <si>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</si>
  <si>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</si>
  <si>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</si>
  <si>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</si>
  <si>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</si>
  <si>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</si>
  <si>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</si>
  <si>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</si>
  <si>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</si>
  <si>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</si>
  <si>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</si>
  <si>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</si>
  <si>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</si>
  <si>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</si>
  <si>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</si>
  <si>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</si>
  <si>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</si>
  <si>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</si>
  <si>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</si>
  <si>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</si>
  <si>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</si>
  <si>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</si>
  <si>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</si>
  <si>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</si>
  <si>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</si>
  <si>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</si>
  <si>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</si>
  <si>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</si>
  <si>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</si>
  <si>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</si>
  <si>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</si>
  <si>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</si>
  <si>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</si>
  <si>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</si>
  <si>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</si>
  <si>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</si>
  <si>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</si>
  <si>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</si>
  <si>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</si>
  <si>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</si>
  <si>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</si>
  <si>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</si>
  <si>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</si>
  <si>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</si>
  <si>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</si>
  <si>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</si>
  <si>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</si>
  <si>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</si>
  <si>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</si>
  <si>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</si>
  <si>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</si>
  <si>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</si>
  <si>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</si>
  <si>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</si>
  <si>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</si>
  <si>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</si>
  <si>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</si>
  <si>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</si>
  <si>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</si>
  <si>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</si>
  <si>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</si>
  <si>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</si>
  <si>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</si>
  <si>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</si>
  <si>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</si>
  <si>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</si>
  <si>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</si>
  <si>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</si>
  <si>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</si>
  <si>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</si>
  <si>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</si>
  <si>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</si>
  <si>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</si>
  <si>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</si>
  <si>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</si>
  <si>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</si>
  <si>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</si>
  <si>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</si>
  <si>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</si>
  <si>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</si>
  <si>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</si>
  <si>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</si>
  <si>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</si>
  <si>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</si>
  <si>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</si>
  <si>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</si>
  <si>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</si>
  <si>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</si>
  <si>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</si>
  <si>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</si>
  <si>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</si>
  <si>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</si>
  <si>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</si>
  <si>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</si>
  <si>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</si>
  <si>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</si>
  <si>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</si>
  <si>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</si>
  <si>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</si>
  <si>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</si>
  <si>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</si>
  <si>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</si>
  <si>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</si>
  <si>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</si>
  <si>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</si>
  <si>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</si>
  <si>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</si>
  <si>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</si>
  <si>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</si>
  <si>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</si>
  <si>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</si>
  <si>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</si>
  <si>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</si>
  <si>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</si>
  <si>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</si>
  <si>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</si>
  <si>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</si>
  <si>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</si>
  <si>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</si>
  <si>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</si>
  <si>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</si>
  <si>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</si>
  <si>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</si>
  <si>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</si>
  <si>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</si>
  <si>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</si>
  <si>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</si>
  <si>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</si>
  <si>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</si>
  <si>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</si>
  <si>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</si>
  <si>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</si>
  <si>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</si>
  <si>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</si>
  <si>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</si>
  <si>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</si>
  <si>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</si>
  <si>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</si>
  <si>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</si>
  <si>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</si>
  <si>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</si>
  <si>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</si>
  <si>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</si>
  <si>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</si>
  <si>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</si>
  <si>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</si>
  <si>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</si>
  <si>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</si>
  <si>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</si>
  <si>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</si>
  <si>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</si>
  <si>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</si>
  <si>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</si>
  <si>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</si>
  <si>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</si>
  <si>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</si>
  <si>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</si>
  <si>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</si>
  <si>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</si>
  <si>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</si>
  <si>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</si>
  <si>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</si>
  <si>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</si>
  <si>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</si>
  <si>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</si>
  <si>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</si>
  <si>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</si>
  <si>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</si>
  <si>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</si>
  <si>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</si>
  <si>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</si>
  <si>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</si>
  <si>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</si>
  <si>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</si>
  <si>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</si>
  <si>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</si>
  <si>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</si>
  <si>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</si>
  <si>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</si>
  <si>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</si>
  <si>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</si>
  <si>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</si>
  <si>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</si>
  <si>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</si>
  <si>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</si>
  <si>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</si>
  <si>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</si>
  <si>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</si>
  <si>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</si>
  <si>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</si>
  <si>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</si>
  <si>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</si>
  <si>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</si>
  <si>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</si>
  <si>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</si>
  <si>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</si>
  <si>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</si>
  <si>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</si>
  <si>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</si>
  <si>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</si>
  <si>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</si>
  <si>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</si>
  <si>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</si>
  <si>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</si>
  <si>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</si>
  <si>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</si>
  <si>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</si>
  <si>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</si>
  <si>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</si>
  <si>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</si>
  <si>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</si>
  <si>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</si>
  <si>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</si>
  <si>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</si>
  <si>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</si>
  <si>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</si>
  <si>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</si>
  <si>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</si>
  <si>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</si>
  <si>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</si>
  <si>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</si>
  <si>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</si>
  <si>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</si>
  <si>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</si>
  <si>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</si>
  <si>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</si>
  <si>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</si>
  <si>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</si>
  <si>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</si>
  <si>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</si>
  <si>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</si>
  <si>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</si>
  <si>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</si>
  <si>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</si>
  <si>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</si>
  <si>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</si>
  <si>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</si>
  <si>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</si>
  <si>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</si>
  <si>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</si>
  <si>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</si>
  <si>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</si>
  <si>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</si>
  <si>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</si>
  <si>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</si>
  <si>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</si>
  <si>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</si>
  <si>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</si>
  <si>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</si>
  <si>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</si>
  <si>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</si>
  <si>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</si>
  <si>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</si>
  <si>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</si>
  <si>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</si>
  <si>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</si>
  <si>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</si>
  <si>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</si>
  <si>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</si>
  <si>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</si>
  <si>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</si>
  <si>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</si>
  <si>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</si>
  <si>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</si>
  <si>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</si>
  <si>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</si>
  <si>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</si>
  <si>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</si>
  <si>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</si>
  <si>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</si>
  <si>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</si>
  <si>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</si>
  <si>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</si>
  <si>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</si>
  <si>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</si>
  <si>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</si>
  <si>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</si>
  <si>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</si>
  <si>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</si>
  <si>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</si>
  <si>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</si>
  <si>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</si>
  <si>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</si>
  <si>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</si>
  <si>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</si>
  <si>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</si>
  <si>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</si>
  <si>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</si>
  <si>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</si>
  <si>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</si>
  <si>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</si>
  <si>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</si>
  <si>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</si>
  <si>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</si>
  <si>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</si>
  <si>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</si>
  <si>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</si>
  <si>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</si>
  <si>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</si>
  <si>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</si>
  <si>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</si>
  <si>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</si>
  <si>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</si>
  <si>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</si>
  <si>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</si>
  <si>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</si>
  <si>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</si>
  <si>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</si>
  <si>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</si>
  <si>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</si>
  <si>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</si>
  <si>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</si>
  <si>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</si>
  <si>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</si>
  <si>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</si>
  <si>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</si>
  <si>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</si>
  <si>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</si>
  <si>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</si>
  <si>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</si>
  <si>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</si>
  <si>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</si>
  <si>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</si>
  <si>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</si>
  <si>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</si>
  <si>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</si>
  <si>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</si>
  <si>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</si>
  <si>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</si>
  <si>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</si>
  <si>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</si>
  <si>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</si>
  <si>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</si>
  <si>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</si>
  <si>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</si>
  <si>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</si>
  <si>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</si>
  <si>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</si>
  <si>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</si>
  <si>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</si>
  <si>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</si>
  <si>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</si>
  <si>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</si>
  <si>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</si>
  <si>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</si>
  <si>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</si>
  <si>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</si>
  <si>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</si>
  <si>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</si>
  <si>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</si>
  <si>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</si>
  <si>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</si>
  <si>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</si>
  <si>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</si>
  <si>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</si>
  <si>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</si>
  <si>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</si>
  <si>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</si>
  <si>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</si>
  <si>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</si>
  <si>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</si>
  <si>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</si>
  <si>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</si>
  <si>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</si>
  <si>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</si>
  <si>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</si>
  <si>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</si>
  <si>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</si>
  <si>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</si>
  <si>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</si>
  <si>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</si>
  <si>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</si>
  <si>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</si>
  <si>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</si>
  <si>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</si>
  <si>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</si>
  <si>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</si>
  <si>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</si>
  <si>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</si>
  <si>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</si>
  <si>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</si>
  <si>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</si>
  <si>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</si>
  <si>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</si>
  <si>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</si>
  <si>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</si>
  <si>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</si>
  <si>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</si>
  <si>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</si>
  <si>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</si>
  <si>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</si>
  <si>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</si>
  <si>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</si>
  <si>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</si>
  <si>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</si>
  <si>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</si>
  <si>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</si>
  <si>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</si>
  <si>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</si>
  <si>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</si>
  <si>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</si>
  <si>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</si>
  <si>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</si>
  <si>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</si>
  <si>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</si>
  <si>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</si>
  <si>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</si>
  <si>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</si>
  <si>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</si>
  <si>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</si>
  <si>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</si>
  <si>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</si>
  <si>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</si>
  <si>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</si>
  <si>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</si>
  <si>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</si>
  <si>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</si>
  <si>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</si>
  <si>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</si>
  <si>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</si>
  <si>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</si>
  <si>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</si>
  <si>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</si>
  <si>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</si>
  <si>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</si>
  <si>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</si>
  <si>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</si>
  <si>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</si>
  <si>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</si>
  <si>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</si>
  <si>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</si>
  <si>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</si>
  <si>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</si>
  <si>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</si>
  <si>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</si>
  <si>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</si>
  <si>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</si>
  <si>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</si>
  <si>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</si>
  <si>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</si>
  <si>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</si>
  <si>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</si>
  <si>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</si>
  <si>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</si>
  <si>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</si>
  <si>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</si>
  <si>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</si>
  <si>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</si>
  <si>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</si>
  <si>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</si>
  <si>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</si>
  <si>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</si>
  <si>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</si>
  <si>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</si>
  <si>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</si>
  <si>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</si>
  <si>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</si>
  <si>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</si>
  <si>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</si>
  <si>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</si>
  <si>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</si>
  <si>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</si>
  <si>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</si>
  <si>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</si>
  <si>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</si>
  <si>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</si>
  <si>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</si>
  <si>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</si>
  <si>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</si>
  <si>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</si>
  <si>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</si>
  <si>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</si>
  <si>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</si>
  <si>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</si>
  <si>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</si>
  <si>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</si>
  <si>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</si>
  <si>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</si>
  <si>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</si>
  <si>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</si>
  <si>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</si>
  <si>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</si>
  <si>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</si>
  <si>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</si>
  <si>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</si>
  <si>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</si>
  <si>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</si>
  <si>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</si>
  <si>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</si>
  <si>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</si>
  <si>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</si>
  <si>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</si>
  <si>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</si>
  <si>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</si>
  <si>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</si>
  <si>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</si>
  <si>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</si>
  <si>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</si>
  <si>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</si>
  <si>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</si>
  <si>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</si>
  <si>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</si>
  <si>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</si>
  <si>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</si>
  <si>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</si>
  <si>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</si>
  <si>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</si>
  <si>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</si>
  <si>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</si>
  <si>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</si>
  <si>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</si>
  <si>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</si>
  <si>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</si>
  <si>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</si>
  <si>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</si>
  <si>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</si>
  <si>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</si>
  <si>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</si>
  <si>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</si>
  <si>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</si>
  <si>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</si>
  <si>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</si>
  <si>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</si>
  <si>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</si>
  <si>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</si>
  <si>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</si>
  <si>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</si>
  <si>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</si>
  <si>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</si>
  <si>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</si>
  <si>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</si>
  <si>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</si>
  <si>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</si>
  <si>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</si>
  <si>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</si>
  <si>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</si>
  <si>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</si>
  <si>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</si>
  <si>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</si>
  <si>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</si>
  <si>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</si>
  <si>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</si>
  <si>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</si>
  <si>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</si>
  <si>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</si>
  <si>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</si>
  <si>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</si>
  <si>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</si>
  <si>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</si>
  <si>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</si>
  <si>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</si>
  <si>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</si>
  <si>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</si>
  <si>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</si>
  <si>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</si>
  <si>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</si>
  <si>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</si>
  <si>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</si>
  <si>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</si>
  <si>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</si>
  <si>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</si>
  <si>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</si>
  <si>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</si>
  <si>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</si>
  <si>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</si>
  <si>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</si>
  <si>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</si>
  <si>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</si>
  <si>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</si>
  <si>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</si>
  <si>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</si>
  <si>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</si>
  <si>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</si>
  <si>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</si>
  <si>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</si>
  <si>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</si>
  <si>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</si>
  <si>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</si>
  <si>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</si>
  <si>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</si>
  <si>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</si>
  <si>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</si>
  <si>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</si>
  <si>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</si>
  <si>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</si>
  <si>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</si>
  <si>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</si>
  <si>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</si>
  <si>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</si>
  <si>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</si>
  <si>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</si>
  <si>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</si>
  <si>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</si>
  <si>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</si>
  <si>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</si>
  <si>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</si>
  <si>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</si>
  <si>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</si>
  <si>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</si>
  <si>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</si>
  <si>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</si>
  <si>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</si>
  <si>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</si>
  <si>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</si>
  <si>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</si>
  <si>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</si>
  <si>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</si>
  <si>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</si>
  <si>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</si>
  <si>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</si>
  <si>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</si>
  <si>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</si>
  <si>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</si>
  <si>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</si>
  <si>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</si>
  <si>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</si>
  <si>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</si>
  <si>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</si>
  <si>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</si>
  <si>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</si>
  <si>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</si>
  <si>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</si>
  <si>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</si>
  <si>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</si>
  <si>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</si>
  <si>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</si>
  <si>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</si>
  <si>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</si>
  <si>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</si>
  <si>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</si>
  <si>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</si>
  <si>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</si>
  <si>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</si>
  <si>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</si>
  <si>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</si>
  <si>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</si>
  <si>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</si>
  <si>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</si>
  <si>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</si>
  <si>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</si>
  <si>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</si>
  <si>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</si>
  <si>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</si>
  <si>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</si>
  <si>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</si>
  <si>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</si>
  <si>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</si>
  <si>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</si>
  <si>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</si>
  <si>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</si>
  <si>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</si>
  <si>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</si>
  <si>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</si>
  <si>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</si>
  <si>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</si>
  <si>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</si>
  <si>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</si>
  <si>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</si>
  <si>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</si>
  <si>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</si>
  <si>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</si>
  <si>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</si>
  <si>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</si>
  <si>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</si>
  <si>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</si>
  <si>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</si>
  <si>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</si>
  <si>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</si>
  <si>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</si>
  <si>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</si>
  <si>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</si>
  <si>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</si>
  <si>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</si>
  <si>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</si>
  <si>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</si>
  <si>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</si>
  <si>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</si>
  <si>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</si>
  <si>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</si>
  <si>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</si>
  <si>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</si>
  <si>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</si>
  <si>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</si>
  <si>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</si>
  <si>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</si>
  <si>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</si>
  <si>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</si>
  <si>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</si>
  <si>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</si>
  <si>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</si>
  <si>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</si>
  <si>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</si>
  <si>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</si>
  <si>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</si>
  <si>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</si>
  <si>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</si>
  <si>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</si>
  <si>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</si>
  <si>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</si>
  <si>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</si>
  <si>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</si>
  <si>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</si>
  <si>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</si>
  <si>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</si>
  <si>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</si>
  <si>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</si>
  <si>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</si>
  <si>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</si>
  <si>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</si>
  <si>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</si>
  <si>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</si>
  <si>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</si>
  <si>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</si>
  <si>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</si>
  <si>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</si>
  <si>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</si>
  <si>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</si>
  <si>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</si>
  <si>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</si>
  <si>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</si>
  <si>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</si>
  <si>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</si>
  <si>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</si>
  <si>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</si>
  <si>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</si>
  <si>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</si>
  <si>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</si>
  <si>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</si>
  <si>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</si>
  <si>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</si>
  <si>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</si>
  <si>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</si>
  <si>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</si>
  <si>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</si>
  <si>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</si>
  <si>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</si>
  <si>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</si>
  <si>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</si>
  <si>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</si>
  <si>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</si>
  <si>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</si>
  <si>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</si>
  <si>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</si>
  <si>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</si>
  <si>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</si>
  <si>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</si>
  <si>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</si>
  <si>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</si>
  <si>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</si>
  <si>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</si>
  <si>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</si>
  <si>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</si>
  <si>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</si>
  <si>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</si>
  <si>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</si>
  <si>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</si>
  <si>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</si>
  <si>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</si>
  <si>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</si>
  <si>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</si>
  <si>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</si>
  <si>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</si>
  <si>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</si>
  <si>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</si>
  <si>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</si>
  <si>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</si>
  <si>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</si>
  <si>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</si>
  <si>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</si>
  <si>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</si>
  <si>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</si>
  <si>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</si>
  <si>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</si>
  <si>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</si>
  <si>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</si>
  <si>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</si>
  <si>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</si>
  <si>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</si>
  <si>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</si>
  <si>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</si>
  <si>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</si>
  <si>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</si>
  <si>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</si>
  <si>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</si>
  <si>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</si>
  <si>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</si>
  <si>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</si>
  <si>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</si>
  <si>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</si>
  <si>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</si>
  <si>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</si>
  <si>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</si>
  <si>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</si>
  <si>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</si>
  <si>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</si>
  <si>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</si>
  <si>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</si>
  <si>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</si>
  <si>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</si>
  <si>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</si>
  <si>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</si>
  <si>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</si>
  <si>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</si>
  <si>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</si>
  <si>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</si>
  <si>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</si>
  <si>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</si>
  <si>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</si>
  <si>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</si>
  <si>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</si>
  <si>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</si>
  <si>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</si>
  <si>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</si>
  <si>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</si>
  <si>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</si>
  <si>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</si>
  <si>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</si>
  <si>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</si>
  <si>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</si>
  <si>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</si>
  <si>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</si>
  <si>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</si>
  <si>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</si>
  <si>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</si>
  <si>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</si>
  <si>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</si>
  <si>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</si>
  <si>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</si>
  <si>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</si>
  <si>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</si>
  <si>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</si>
  <si>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</si>
  <si>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</si>
  <si>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</si>
  <si>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</si>
  <si>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</si>
  <si>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</si>
  <si>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</si>
  <si>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</si>
  <si>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</si>
  <si>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</si>
  <si>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</si>
  <si>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</si>
  <si>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</si>
  <si>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</si>
  <si>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</si>
  <si>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</si>
  <si>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</si>
  <si>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</si>
  <si>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</si>
  <si>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</si>
  <si>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</si>
  <si>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</si>
  <si>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</si>
  <si>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</si>
  <si>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</si>
  <si>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</si>
  <si>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</si>
  <si>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</si>
  <si>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</si>
  <si>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</si>
  <si>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</si>
  <si>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</si>
  <si>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</si>
  <si>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</si>
  <si>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</si>
  <si>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</si>
  <si>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</si>
  <si>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</si>
  <si>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</si>
  <si>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</si>
  <si>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</si>
  <si>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</si>
  <si>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</si>
  <si>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</si>
  <si>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</si>
  <si>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</si>
  <si>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</si>
  <si>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</si>
  <si>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</si>
  <si>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</si>
  <si>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</si>
  <si>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</si>
  <si>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</si>
  <si>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</si>
  <si>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</si>
  <si>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</si>
  <si>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</si>
  <si>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</si>
  <si>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</si>
  <si>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</si>
  <si>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</si>
  <si>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</si>
  <si>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</si>
  <si>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</si>
  <si>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</si>
  <si>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</si>
  <si>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</si>
  <si>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</si>
  <si>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</si>
  <si>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</si>
  <si>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</si>
  <si>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</si>
  <si>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</si>
  <si>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</si>
  <si>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</si>
  <si>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</si>
  <si>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</si>
  <si>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</si>
  <si>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</si>
  <si>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</si>
  <si>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</si>
  <si>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</si>
  <si>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</si>
  <si>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</si>
  <si>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</si>
  <si>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</si>
  <si>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</si>
  <si>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</si>
  <si>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</si>
  <si>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</si>
  <si>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</si>
  <si>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</si>
  <si>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</si>
  <si>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</si>
  <si>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</si>
  <si>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</si>
  <si>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</si>
  <si>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</si>
  <si>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</si>
  <si>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</si>
  <si>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</si>
  <si>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</si>
  <si>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</si>
  <si>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</si>
  <si>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</si>
  <si>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</si>
  <si>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</si>
  <si>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</si>
  <si>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</si>
  <si>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</si>
  <si>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</si>
  <si>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</si>
  <si>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</si>
  <si>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</si>
  <si>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</si>
  <si>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</si>
  <si>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</si>
  <si>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</si>
  <si>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</si>
  <si>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</si>
  <si>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</si>
  <si>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</si>
  <si>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</si>
  <si>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</si>
  <si>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</si>
  <si>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</si>
  <si>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</si>
  <si>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</si>
  <si>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</si>
  <si>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</si>
  <si>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</si>
  <si>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</si>
  <si>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</si>
  <si>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</si>
  <si>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</si>
  <si>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</si>
  <si>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</si>
  <si>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</si>
  <si>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</si>
  <si>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</si>
  <si>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</si>
  <si>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</si>
  <si>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</si>
  <si>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</si>
  <si>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</si>
  <si>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</si>
  <si>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</si>
  <si>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</si>
  <si>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</si>
  <si>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</si>
  <si>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</si>
  <si>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</si>
  <si>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</si>
  <si>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</si>
  <si>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</si>
  <si>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</si>
  <si>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</si>
  <si>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</si>
  <si>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</si>
  <si>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</si>
  <si>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</si>
  <si>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</si>
  <si>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</si>
  <si>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</si>
  <si>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</si>
  <si>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</si>
  <si>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</si>
  <si>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</si>
  <si>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</si>
  <si>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</si>
  <si>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</si>
  <si>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</si>
  <si>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</si>
  <si>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</si>
  <si>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</si>
  <si>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</si>
  <si>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</si>
  <si>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</si>
  <si>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</si>
  <si>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</si>
  <si>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</si>
  <si>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</si>
  <si>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</si>
  <si>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</si>
  <si>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</si>
  <si>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</si>
  <si>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</si>
  <si>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</si>
  <si>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</si>
  <si>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</si>
  <si>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</si>
  <si>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</si>
  <si>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</si>
  <si>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</si>
  <si>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</si>
  <si>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</si>
  <si>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</si>
  <si>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</si>
  <si>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</si>
  <si>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</si>
  <si>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</si>
  <si>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</si>
  <si>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</si>
  <si>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</si>
  <si>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</si>
  <si>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</si>
  <si>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</si>
  <si>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</si>
  <si>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</si>
  <si>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</si>
  <si>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</si>
  <si>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</si>
  <si>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</si>
  <si>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</si>
  <si>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</si>
  <si>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</si>
  <si>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</si>
  <si>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</si>
  <si>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</si>
  <si>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</si>
  <si>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</si>
  <si>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</si>
  <si>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</si>
  <si>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</si>
  <si>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</si>
  <si>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</si>
  <si>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</si>
  <si>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</si>
  <si>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</si>
  <si>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</si>
  <si>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</si>
  <si>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</si>
  <si>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</si>
  <si>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</si>
  <si>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</si>
  <si>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</si>
  <si>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</si>
  <si>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</si>
  <si>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</si>
  <si>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</si>
  <si>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</si>
  <si>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</si>
  <si>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</si>
  <si>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</si>
  <si>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</si>
  <si>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</si>
  <si>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</si>
  <si>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</si>
  <si>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</si>
  <si>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</si>
  <si>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</si>
  <si>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</si>
  <si>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</si>
  <si>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</si>
  <si>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</si>
  <si>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</si>
  <si>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</si>
  <si>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</si>
  <si>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</si>
  <si>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</si>
  <si>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</si>
  <si>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</si>
  <si>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</si>
  <si>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</si>
  <si>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</si>
  <si>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</si>
  <si>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</si>
  <si>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</si>
  <si>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</si>
  <si>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</si>
  <si>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</si>
  <si>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</si>
  <si>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</si>
  <si>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</si>
  <si>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</si>
  <si>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</si>
  <si>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</si>
  <si>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</si>
  <si>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</si>
  <si>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</si>
  <si>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</si>
  <si>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</si>
  <si>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</si>
  <si>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</si>
  <si>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</si>
  <si>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</si>
  <si>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</si>
  <si>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</si>
  <si>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</si>
  <si>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</si>
  <si>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</si>
  <si>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</si>
  <si>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</si>
  <si>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</si>
  <si>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</si>
  <si>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</si>
  <si>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</si>
  <si>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</si>
  <si>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</si>
  <si>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</si>
  <si>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</si>
  <si>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</si>
  <si>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</si>
  <si>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</si>
  <si>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</si>
  <si>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</si>
  <si>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</si>
  <si>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</si>
  <si>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</si>
  <si>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</si>
  <si>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</si>
  <si>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</si>
  <si>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</si>
  <si>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</si>
  <si>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</si>
  <si>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</si>
  <si>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</si>
  <si>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</si>
  <si>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</si>
  <si>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</si>
  <si>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</si>
  <si>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</si>
  <si>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</si>
  <si>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</si>
  <si>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</si>
  <si>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</si>
  <si>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</si>
  <si>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</si>
  <si>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</si>
  <si>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</si>
  <si>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</si>
  <si>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</si>
  <si>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</si>
  <si>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</si>
  <si>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</si>
  <si>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</si>
  <si>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</si>
  <si>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</si>
  <si>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</si>
  <si>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</si>
  <si>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</si>
  <si>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</si>
  <si>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</si>
  <si>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</si>
  <si>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</si>
  <si>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</si>
  <si>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</si>
  <si>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</si>
  <si>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</si>
  <si>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</si>
  <si>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</si>
  <si>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</si>
  <si>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</si>
  <si>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</si>
  <si>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</si>
  <si>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</si>
  <si>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</si>
  <si>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</si>
  <si>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</si>
  <si>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</si>
  <si>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</si>
  <si>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</si>
  <si>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</si>
  <si>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</si>
  <si>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</si>
  <si>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</si>
  <si>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</si>
  <si>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</si>
  <si>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</si>
  <si>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</si>
  <si>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</si>
  <si>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</si>
  <si>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</si>
  <si>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</si>
  <si>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</si>
  <si>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</si>
  <si>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</si>
  <si>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</si>
  <si>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</si>
  <si>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</si>
  <si>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</si>
  <si>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</si>
  <si>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</si>
  <si>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</si>
  <si>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</si>
  <si>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</si>
  <si>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</si>
  <si>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</si>
  <si>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</si>
  <si>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</si>
  <si>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</si>
  <si>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</si>
  <si>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</si>
  <si>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</si>
  <si>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</si>
  <si>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</si>
  <si>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</si>
  <si>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</si>
  <si>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</si>
  <si>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</si>
  <si>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</si>
  <si>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</si>
  <si>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</si>
  <si>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</si>
  <si>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</si>
  <si>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</si>
  <si>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</si>
  <si>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</si>
  <si>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</si>
  <si>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</si>
  <si>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</si>
  <si>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</si>
  <si>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</si>
  <si>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</si>
  <si>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</si>
  <si>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</si>
  <si>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</si>
  <si>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</si>
  <si>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</si>
  <si>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</si>
  <si>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</si>
  <si>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</si>
  <si>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</si>
  <si>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</si>
  <si>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</si>
  <si>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</si>
  <si>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</si>
  <si>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</si>
  <si>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</si>
  <si>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</si>
  <si>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</si>
  <si>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</si>
  <si>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</si>
  <si>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</si>
  <si>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</si>
  <si>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</si>
  <si>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</si>
  <si>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</si>
  <si>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</si>
  <si>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</si>
  <si>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</si>
  <si>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</si>
  <si>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</si>
  <si>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</si>
  <si>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</si>
  <si>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</si>
  <si>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</si>
  <si>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</si>
  <si>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</si>
  <si>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</si>
  <si>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</si>
  <si>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</si>
  <si>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</si>
  <si>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</si>
  <si>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</si>
  <si>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</si>
  <si>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</si>
  <si>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</si>
  <si>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</si>
  <si>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</si>
  <si>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</si>
  <si>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</si>
  <si>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</si>
  <si>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</si>
  <si>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</si>
  <si>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</si>
  <si>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</si>
  <si>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</si>
  <si>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</si>
  <si>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</si>
  <si>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</si>
  <si>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</si>
  <si>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</si>
  <si>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</si>
  <si>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</si>
  <si>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</si>
  <si>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</si>
  <si>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</si>
  <si>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</si>
  <si>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</si>
  <si>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</si>
  <si>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</si>
  <si>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</si>
  <si>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</si>
  <si>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</si>
  <si>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</si>
  <si>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</si>
  <si>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</si>
  <si>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</si>
  <si>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</si>
  <si>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</si>
  <si>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</si>
  <si>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</si>
  <si>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</si>
  <si>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</si>
  <si>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</si>
  <si>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</si>
  <si>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</si>
  <si>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</si>
  <si>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</si>
  <si>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</si>
  <si>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</si>
  <si>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</si>
  <si>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</si>
  <si>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</si>
  <si>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</si>
  <si>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</si>
  <si>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</si>
  <si>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</si>
  <si>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</si>
  <si>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</si>
  <si>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</si>
  <si>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</si>
  <si>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</si>
  <si>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</si>
  <si>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</si>
  <si>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</si>
  <si>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</si>
  <si>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</si>
  <si>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</si>
  <si>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</si>
  <si>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</si>
  <si>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</si>
  <si>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</si>
  <si>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</si>
  <si>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</si>
  <si>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</si>
  <si>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</si>
  <si>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</si>
  <si>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</si>
  <si>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</si>
  <si>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</si>
  <si>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</si>
  <si>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</si>
  <si>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</si>
  <si>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</si>
  <si>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</si>
  <si>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</si>
  <si>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</si>
  <si>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</si>
  <si>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</si>
  <si>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</si>
  <si>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</si>
  <si>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</si>
  <si>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</si>
  <si>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</si>
  <si>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</si>
  <si>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</si>
  <si>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</si>
  <si>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</si>
  <si>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</si>
  <si>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</si>
  <si>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</si>
  <si>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</si>
  <si>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</si>
  <si>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</si>
  <si>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</si>
  <si>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</si>
  <si>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</si>
  <si>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</si>
  <si>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</si>
  <si>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</si>
  <si>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</si>
  <si>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</si>
  <si>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</si>
  <si>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</si>
  <si>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</si>
  <si>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</si>
  <si>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</si>
  <si>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</si>
  <si>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</si>
  <si>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</si>
  <si>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</si>
  <si>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</si>
  <si>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</si>
  <si>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</si>
  <si>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</si>
  <si>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</si>
  <si>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</si>
  <si>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</si>
  <si>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</si>
  <si>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</si>
  <si>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</si>
  <si>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</si>
  <si>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</si>
  <si>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</si>
  <si>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</si>
  <si>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</si>
  <si>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</si>
  <si>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</si>
  <si>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</si>
  <si>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</si>
  <si>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</si>
  <si>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</si>
  <si>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</si>
  <si>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</si>
  <si>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</si>
  <si>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</si>
  <si>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</si>
  <si>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</si>
  <si>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</si>
  <si>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</si>
  <si>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</si>
  <si>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</si>
  <si>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</si>
  <si>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</si>
  <si>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</si>
  <si>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</si>
  <si>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</si>
  <si>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</si>
  <si>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</si>
  <si>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</si>
  <si>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</si>
  <si>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</si>
  <si>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</si>
  <si>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</si>
  <si>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</si>
  <si>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</si>
  <si>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</si>
  <si>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</si>
  <si>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</si>
  <si>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</si>
  <si>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</si>
  <si>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</si>
  <si>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</si>
  <si>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</si>
  <si>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</si>
  <si>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</si>
  <si>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</si>
  <si>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</si>
  <si>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</si>
  <si>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</si>
  <si>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</si>
  <si>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</si>
  <si>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</si>
  <si>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</si>
  <si>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</si>
  <si>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</si>
  <si>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</si>
  <si>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</si>
  <si>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</si>
  <si>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</si>
  <si>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</si>
  <si>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</si>
  <si>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</si>
  <si>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</si>
  <si>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</si>
  <si>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</si>
  <si>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</si>
  <si>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</si>
  <si>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</si>
  <si>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</si>
  <si>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</si>
  <si>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</si>
  <si>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</si>
  <si>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</si>
  <si>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</si>
  <si>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</si>
  <si>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</si>
  <si>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</si>
  <si>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</si>
  <si>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</si>
  <si>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</si>
  <si>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</si>
  <si>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</si>
  <si>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</si>
  <si>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</si>
  <si>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</si>
  <si>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</si>
  <si>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</si>
  <si>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</si>
  <si>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</si>
  <si>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</si>
  <si>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</si>
  <si>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</si>
  <si>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</si>
  <si>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</si>
  <si>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</si>
  <si>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</si>
  <si>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</si>
  <si>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</si>
  <si>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</si>
  <si>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</si>
  <si>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</si>
  <si>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</si>
  <si>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</si>
  <si>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</si>
  <si>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</si>
  <si>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</si>
  <si>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</si>
  <si>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</si>
  <si>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</si>
  <si>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</si>
  <si>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</si>
  <si>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</si>
  <si>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</si>
  <si>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</si>
  <si>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</si>
  <si>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</si>
  <si>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</si>
  <si>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</si>
  <si>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</si>
  <si>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</si>
  <si>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</si>
  <si>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</si>
  <si>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</si>
  <si>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</si>
  <si>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</si>
  <si>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</si>
  <si>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</si>
  <si>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</si>
  <si>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</si>
  <si>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</si>
  <si>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</si>
  <si>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</si>
  <si>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</si>
  <si>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</si>
  <si>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</si>
  <si>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</si>
  <si>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</si>
  <si>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</si>
  <si>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</si>
  <si>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</si>
  <si>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</si>
  <si>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</si>
  <si>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</si>
  <si>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</si>
  <si>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</si>
  <si>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</si>
  <si>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</si>
  <si>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</si>
  <si>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</si>
  <si>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</si>
  <si>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</si>
  <si>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</si>
  <si>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</si>
  <si>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</si>
  <si>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</si>
  <si>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</si>
  <si>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</si>
  <si>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</si>
  <si>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</si>
  <si>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</si>
  <si>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</si>
  <si>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</si>
  <si>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</si>
  <si>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</si>
  <si>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</si>
  <si>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</si>
  <si>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</si>
  <si>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</si>
  <si>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</si>
  <si>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</si>
  <si>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</si>
  <si>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</si>
  <si>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</si>
  <si>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</si>
  <si>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</si>
  <si>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</si>
  <si>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</si>
  <si>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</si>
  <si>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</si>
  <si>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</si>
  <si>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</si>
  <si>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</si>
  <si>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</si>
  <si>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</si>
  <si>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</si>
  <si>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</si>
  <si>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</si>
  <si>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</si>
  <si>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</si>
  <si>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</si>
  <si>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</si>
  <si>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</si>
  <si>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</si>
  <si>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</si>
  <si>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</si>
  <si>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</si>
  <si>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</si>
  <si>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</si>
  <si>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</si>
  <si>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</si>
  <si>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</si>
  <si>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</si>
  <si>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</si>
  <si>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</si>
  <si>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</si>
  <si>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</si>
  <si>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</si>
  <si>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</si>
  <si>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</si>
  <si>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</si>
  <si>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</si>
  <si>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</si>
  <si>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</si>
  <si>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</si>
  <si>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</si>
  <si>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</si>
  <si>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</si>
  <si>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</si>
  <si>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</si>
  <si>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</si>
  <si>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</si>
  <si>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</si>
  <si>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</si>
  <si>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</si>
  <si>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</si>
  <si>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</si>
  <si>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</si>
  <si>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</si>
  <si>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</si>
  <si>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</si>
  <si>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</si>
  <si>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</si>
  <si>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</si>
  <si>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</si>
  <si>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</si>
  <si>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</si>
  <si>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</si>
  <si>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</si>
  <si>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</si>
  <si>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</si>
  <si>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</si>
  <si>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</si>
  <si>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</si>
  <si>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</si>
  <si>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</si>
  <si>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</si>
  <si>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</si>
  <si>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</si>
  <si>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</si>
  <si>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</si>
  <si>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</si>
  <si>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</si>
  <si>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</si>
  <si>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</si>
  <si>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</si>
  <si>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</si>
  <si>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</si>
  <si>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</si>
  <si>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</si>
  <si>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</si>
  <si>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</si>
  <si>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</si>
  <si>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</si>
  <si>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</si>
  <si>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</si>
  <si>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</si>
  <si>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</si>
  <si>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</si>
  <si>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</si>
  <si>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</si>
  <si>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</si>
  <si>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</si>
  <si>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</si>
  <si>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</si>
  <si>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</si>
  <si>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</si>
  <si>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</si>
  <si>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</si>
  <si>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</si>
  <si>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</si>
  <si>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</si>
  <si>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</si>
  <si>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</si>
  <si>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</si>
  <si>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</si>
  <si>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</si>
  <si>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</si>
  <si>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</si>
  <si>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</si>
  <si>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</si>
  <si>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</si>
  <si>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</si>
  <si>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</si>
  <si>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</si>
  <si>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</si>
  <si>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</si>
  <si>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</si>
  <si>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</si>
  <si>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</si>
  <si>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</si>
  <si>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</si>
  <si>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</si>
  <si>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</si>
  <si>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</si>
  <si>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</si>
  <si>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</si>
  <si>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</si>
  <si>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</si>
  <si>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</si>
  <si>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</si>
  <si>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</si>
  <si>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</si>
  <si>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</si>
  <si>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</si>
  <si>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</si>
  <si>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</si>
  <si>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</si>
  <si>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</si>
  <si>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</si>
  <si>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</si>
  <si>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</si>
  <si>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</si>
  <si>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</si>
  <si>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</si>
  <si>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</si>
  <si>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</si>
  <si>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</si>
  <si>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</si>
  <si>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</si>
  <si>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</si>
  <si>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</si>
  <si>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</si>
  <si>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</si>
  <si>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</si>
  <si>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</si>
  <si>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</si>
  <si>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</si>
  <si>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</si>
  <si>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</si>
  <si>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</si>
  <si>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</si>
  <si>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</si>
  <si>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</si>
  <si>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</si>
  <si>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</si>
  <si>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</si>
  <si>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</si>
  <si>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</si>
  <si>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</si>
  <si>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</si>
  <si>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</si>
  <si>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</si>
  <si>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</si>
  <si>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</si>
  <si>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</si>
  <si>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</si>
  <si>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</si>
  <si>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</si>
  <si>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</si>
  <si>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</si>
  <si>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</si>
  <si>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</si>
  <si>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</si>
  <si>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</si>
  <si>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</si>
  <si>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</si>
  <si>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</si>
  <si>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</si>
  <si>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</si>
  <si>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</si>
  <si>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</si>
  <si>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</si>
  <si>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</si>
  <si>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</si>
  <si>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</si>
  <si>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</si>
  <si>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</si>
  <si>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</si>
  <si>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</si>
  <si>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</si>
  <si>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</si>
  <si>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</si>
  <si>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</si>
  <si>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</si>
  <si>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</si>
  <si>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</si>
  <si>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</si>
  <si>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</si>
  <si>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</si>
  <si>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</si>
  <si>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</si>
  <si>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</si>
  <si>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</si>
  <si>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</si>
  <si>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</si>
  <si>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</si>
  <si>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</si>
  <si>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</si>
  <si>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</si>
  <si>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</si>
  <si>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</si>
  <si>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</si>
  <si>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</si>
  <si>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</si>
  <si>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</si>
  <si>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</si>
  <si>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</si>
  <si>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</si>
  <si>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</si>
  <si>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</si>
  <si>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</si>
  <si>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</si>
  <si>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</si>
  <si>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</si>
  <si>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</si>
  <si>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</si>
  <si>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</si>
  <si>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</si>
  <si>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</si>
  <si>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</si>
  <si>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</si>
  <si>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</si>
  <si>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</si>
  <si>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</si>
  <si>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</si>
  <si>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</si>
  <si>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</si>
  <si>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</si>
  <si>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</si>
  <si>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</si>
  <si>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</si>
  <si>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</si>
  <si>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</si>
  <si>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</si>
  <si>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</si>
  <si>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</si>
  <si>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</si>
  <si>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</si>
  <si>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</si>
  <si>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</si>
  <si>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</si>
  <si>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</si>
  <si>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</si>
  <si>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</si>
  <si>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</si>
  <si>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</si>
  <si>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</si>
  <si>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</si>
  <si>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</si>
  <si>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</si>
  <si>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</si>
  <si>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</si>
  <si>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</si>
  <si>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</si>
  <si>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</si>
  <si>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</si>
  <si>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</si>
  <si>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</si>
  <si>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</si>
  <si>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</si>
  <si>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 month</t>
  </si>
  <si>
    <t>OK/Invalid Status for Shipping Date</t>
  </si>
  <si>
    <t>Discount Validation - Negative</t>
  </si>
  <si>
    <t>Discount Missing</t>
  </si>
  <si>
    <t>Duplicate Order_Id</t>
  </si>
  <si>
    <t>Shippng Delay</t>
  </si>
  <si>
    <t>Region Missing</t>
  </si>
  <si>
    <t>Ship Mode missing</t>
  </si>
  <si>
    <t>Ord-2024-10001</t>
  </si>
  <si>
    <t>Cust-4655</t>
  </si>
  <si>
    <t>Ord-2024-10002</t>
  </si>
  <si>
    <t>Cust-2054</t>
  </si>
  <si>
    <t>Ord-2024-10003</t>
  </si>
  <si>
    <t>Cust-6843</t>
  </si>
  <si>
    <t>Ord-2024-10004</t>
  </si>
  <si>
    <t>Cust-3722</t>
  </si>
  <si>
    <t>Ord-2025-10005</t>
  </si>
  <si>
    <t>Cust-8130</t>
  </si>
  <si>
    <t>Ord-2024-10006</t>
  </si>
  <si>
    <t>Cust-6056</t>
  </si>
  <si>
    <t>Ord-2025-10007</t>
  </si>
  <si>
    <t>Cust-3656</t>
  </si>
  <si>
    <t>Ord-2025-10008</t>
  </si>
  <si>
    <t>Cust-4683</t>
  </si>
  <si>
    <t>Ord-2024-10009</t>
  </si>
  <si>
    <t>Cust-2598</t>
  </si>
  <si>
    <t>Ord-2025-10010</t>
  </si>
  <si>
    <t>Cust-2483</t>
  </si>
  <si>
    <t>Ord-2025-10011</t>
  </si>
  <si>
    <t>Cust-8092</t>
  </si>
  <si>
    <t>Ord-2024-10012</t>
  </si>
  <si>
    <t>Cust-6528</t>
  </si>
  <si>
    <t>Ord-2024-10013</t>
  </si>
  <si>
    <t>Cust-2648</t>
  </si>
  <si>
    <t>Ord-2025-10014</t>
  </si>
  <si>
    <t>Cust-7482</t>
  </si>
  <si>
    <t>Ord-2024-10015</t>
  </si>
  <si>
    <t>Cust-4912</t>
  </si>
  <si>
    <t>Ord-2024-10016</t>
  </si>
  <si>
    <t>Cust-7656</t>
  </si>
  <si>
    <t>Ord-2024-10017</t>
  </si>
  <si>
    <t>Cust-6214</t>
  </si>
  <si>
    <t>Ord-2024-10018</t>
  </si>
  <si>
    <t>Cust-1626</t>
  </si>
  <si>
    <t>Ord-2025-10019</t>
  </si>
  <si>
    <t>Cust-2110</t>
  </si>
  <si>
    <t>Ord-2024-10020</t>
  </si>
  <si>
    <t>Cust-3186</t>
  </si>
  <si>
    <t>Ord-2025-10021</t>
  </si>
  <si>
    <t>Cust-3190</t>
  </si>
  <si>
    <t>Ord-2025-10022</t>
  </si>
  <si>
    <t>Cust-3036</t>
  </si>
  <si>
    <t>Ord-2025-10023</t>
  </si>
  <si>
    <t>Cust-3588</t>
  </si>
  <si>
    <t>Ord-2025-10024</t>
  </si>
  <si>
    <t>Cust-7098</t>
  </si>
  <si>
    <t>Ord-2024-10025</t>
  </si>
  <si>
    <t>Cust-1747</t>
  </si>
  <si>
    <t>Ord-2024-10026</t>
  </si>
  <si>
    <t>Cust-1731</t>
  </si>
  <si>
    <t>Ord-2024-10027</t>
  </si>
  <si>
    <t>Cust-4401</t>
  </si>
  <si>
    <t>Ord-2025-10028</t>
  </si>
  <si>
    <t>Cust-9875</t>
  </si>
  <si>
    <t>Ord-2024-10029</t>
  </si>
  <si>
    <t>Cust-1569</t>
  </si>
  <si>
    <t>Ord-2025-10030</t>
  </si>
  <si>
    <t>Cust-5936</t>
  </si>
  <si>
    <t>Ord-2024-10031</t>
  </si>
  <si>
    <t>Cust-8759</t>
  </si>
  <si>
    <t>Ord-2025-10032</t>
  </si>
  <si>
    <t>Cust-7867</t>
  </si>
  <si>
    <t>Ord-2024-10033</t>
  </si>
  <si>
    <t>Cust-6509</t>
  </si>
  <si>
    <t>Ord-2024-10034</t>
  </si>
  <si>
    <t>Cust-6660</t>
  </si>
  <si>
    <t>Ord-2025-10035</t>
  </si>
  <si>
    <t>Cust-2392</t>
  </si>
  <si>
    <t/>
  </si>
  <si>
    <t>Ord-2024-10036</t>
  </si>
  <si>
    <t>Cust-1611</t>
  </si>
  <si>
    <t>Ord-2024-10037</t>
  </si>
  <si>
    <t>Cust-8296</t>
  </si>
  <si>
    <t>Ord-2025-10038</t>
  </si>
  <si>
    <t>Cust-4646</t>
  </si>
  <si>
    <t>Ord-2024-10039</t>
  </si>
  <si>
    <t>Cust-8235</t>
  </si>
  <si>
    <t>Ord-2024-10040</t>
  </si>
  <si>
    <t>Cust-5830</t>
  </si>
  <si>
    <t>Ord-2024-10041</t>
  </si>
  <si>
    <t>Cust-7178</t>
  </si>
  <si>
    <t>Ord-2024-10042</t>
  </si>
  <si>
    <t>Cust-3829</t>
  </si>
  <si>
    <t>Ord-2025-10043</t>
  </si>
  <si>
    <t>Cust-6708</t>
  </si>
  <si>
    <t>Ord-2024-10044</t>
  </si>
  <si>
    <t>Cust-7119</t>
  </si>
  <si>
    <t>Ord-2024-10045</t>
  </si>
  <si>
    <t>Cust-3373</t>
  </si>
  <si>
    <t>Ord-2024-10046</t>
  </si>
  <si>
    <t>Cust-8896</t>
  </si>
  <si>
    <t>Ord-2024-10047</t>
  </si>
  <si>
    <t>Cust-8517</t>
  </si>
  <si>
    <t>Ord-2024-10048</t>
  </si>
  <si>
    <t>Cust-1987</t>
  </si>
  <si>
    <t>Ord-2025-10049</t>
  </si>
  <si>
    <t>Cust-8183</t>
  </si>
  <si>
    <t>Ord-2024-10050</t>
  </si>
  <si>
    <t>Cust-2380</t>
  </si>
  <si>
    <t>Ord-2025-10051</t>
  </si>
  <si>
    <t>Cust-8787</t>
  </si>
  <si>
    <t>Ord-2024-10052</t>
  </si>
  <si>
    <t>Cust-3557</t>
  </si>
  <si>
    <t>Ord-2024-10053</t>
  </si>
  <si>
    <t>Cust-2778</t>
  </si>
  <si>
    <t>Ord-2025-10054</t>
  </si>
  <si>
    <t>Cust-7195</t>
  </si>
  <si>
    <t>Ord-2025-10055</t>
  </si>
  <si>
    <t>Cust-9039</t>
  </si>
  <si>
    <t>Ord-2025-10056</t>
  </si>
  <si>
    <t>Cust-9821</t>
  </si>
  <si>
    <t>Ord-2025-10057</t>
  </si>
  <si>
    <t>Cust-8701</t>
  </si>
  <si>
    <t>Ord-2024-10058</t>
  </si>
  <si>
    <t>Cust-9941</t>
  </si>
  <si>
    <t>Ord-2024-10059</t>
  </si>
  <si>
    <t>Cust-3983</t>
  </si>
  <si>
    <t>Ord-2024-10060</t>
  </si>
  <si>
    <t>Cust-2418</t>
  </si>
  <si>
    <t>Ord-2024-10061</t>
  </si>
  <si>
    <t>Cust-2892</t>
  </si>
  <si>
    <t>Ord-2024-10062</t>
  </si>
  <si>
    <t>Cust-7008</t>
  </si>
  <si>
    <t>Ord-2024-10063</t>
  </si>
  <si>
    <t>Cust-4900</t>
  </si>
  <si>
    <t>Ord-2024-10064</t>
  </si>
  <si>
    <t>Cust-5382</t>
  </si>
  <si>
    <t>Ord-2024-10065</t>
  </si>
  <si>
    <t>Cust-2749</t>
  </si>
  <si>
    <t>Ord-2024-10066</t>
  </si>
  <si>
    <t>Cust-2463</t>
  </si>
  <si>
    <t>Ord-2025-10067</t>
  </si>
  <si>
    <t>Cust-1504</t>
  </si>
  <si>
    <t>Ord-2025-10068</t>
  </si>
  <si>
    <t>Cust-8282</t>
  </si>
  <si>
    <t>Ord-2024-10069</t>
  </si>
  <si>
    <t>Cust-6054</t>
  </si>
  <si>
    <t>Ord-2024-10070</t>
  </si>
  <si>
    <t>Cust-5979</t>
  </si>
  <si>
    <t>Ord-2025-10071</t>
  </si>
  <si>
    <t>Cust-5582</t>
  </si>
  <si>
    <t>Ord-2025-10072</t>
  </si>
  <si>
    <t>Cust-3308</t>
  </si>
  <si>
    <t>Ord-2024-10073</t>
  </si>
  <si>
    <t>Cust-5018</t>
  </si>
  <si>
    <t>Ord-2025-10074</t>
  </si>
  <si>
    <t>Cust-2342</t>
  </si>
  <si>
    <t>Ord-2025-10075</t>
  </si>
  <si>
    <t>Cust-6201</t>
  </si>
  <si>
    <t>Ord-2025-10076</t>
  </si>
  <si>
    <t>Cust-5808</t>
  </si>
  <si>
    <t>Ord-2024-10077</t>
  </si>
  <si>
    <t>Cust-2642</t>
  </si>
  <si>
    <t>Ord-2025-10078</t>
  </si>
  <si>
    <t>Cust-4385</t>
  </si>
  <si>
    <t>Ord-2025-10079</t>
  </si>
  <si>
    <t>Cust-8043</t>
  </si>
  <si>
    <t>Ord-2025-10080</t>
  </si>
  <si>
    <t>Cust-9978</t>
  </si>
  <si>
    <t>Ord-2024-10081</t>
  </si>
  <si>
    <t>Cust-2094</t>
  </si>
  <si>
    <t>Ord-2025-10082</t>
  </si>
  <si>
    <t>Cust-7907</t>
  </si>
  <si>
    <t>Ord-2024-10083</t>
  </si>
  <si>
    <t>Cust-6516</t>
  </si>
  <si>
    <t>Ord-2024-10084</t>
  </si>
  <si>
    <t>Cust-4989</t>
  </si>
  <si>
    <t>Ord-2024-10085</t>
  </si>
  <si>
    <t>Cust-3758</t>
  </si>
  <si>
    <t>Ord-2024-10086</t>
  </si>
  <si>
    <t>Cust-6702</t>
  </si>
  <si>
    <t>Ord-2024-10087</t>
  </si>
  <si>
    <t>Cust-9148</t>
  </si>
  <si>
    <t>Ord-2024-10088</t>
  </si>
  <si>
    <t>Cust-5829</t>
  </si>
  <si>
    <t>Ord-2024-10089</t>
  </si>
  <si>
    <t>Cust-6059</t>
  </si>
  <si>
    <t>Ord-2024-10090</t>
  </si>
  <si>
    <t>Cust-7744</t>
  </si>
  <si>
    <t>Ord-2025-10091</t>
  </si>
  <si>
    <t>Cust-5909</t>
  </si>
  <si>
    <t>Ord-2025-10092</t>
  </si>
  <si>
    <t>Cust-6409</t>
  </si>
  <si>
    <t>Ord-2025-10093</t>
  </si>
  <si>
    <t>Cust-3014</t>
  </si>
  <si>
    <t>Ord-2024-10094</t>
  </si>
  <si>
    <t>Cust-6106</t>
  </si>
  <si>
    <t>Ord-2024-10095</t>
  </si>
  <si>
    <t>Cust-1926</t>
  </si>
  <si>
    <t>Ord-2025-10096</t>
  </si>
  <si>
    <t>Cust-2687</t>
  </si>
  <si>
    <t>Ord-2024-10097</t>
  </si>
  <si>
    <t>Cust-7283</t>
  </si>
  <si>
    <t>Ord-2025-10098</t>
  </si>
  <si>
    <t>Cust-8111</t>
  </si>
  <si>
    <t>Ord-2024-10099</t>
  </si>
  <si>
    <t>Cust-5434</t>
  </si>
  <si>
    <t>Ord-2025-10100</t>
  </si>
  <si>
    <t>Cust-3865</t>
  </si>
  <si>
    <t>Ord-2025-10101</t>
  </si>
  <si>
    <t>Cust-6015</t>
  </si>
  <si>
    <t>Ord-2024-10102</t>
  </si>
  <si>
    <t>Cust-7909</t>
  </si>
  <si>
    <t>Ord-2025-10103</t>
  </si>
  <si>
    <t>Cust-9603</t>
  </si>
  <si>
    <t>Ord-2025-10104</t>
  </si>
  <si>
    <t>Cust-6263</t>
  </si>
  <si>
    <t>Ord-2025-10105</t>
  </si>
  <si>
    <t>Cust-1576</t>
  </si>
  <si>
    <t>Ord-2024-10106</t>
  </si>
  <si>
    <t>Cust-6540</t>
  </si>
  <si>
    <t>Ord-2024-10107</t>
  </si>
  <si>
    <t>Cust-4008</t>
  </si>
  <si>
    <t>Ord-2024-10108</t>
  </si>
  <si>
    <t>Cust-6604</t>
  </si>
  <si>
    <t>Ord-2024-10109</t>
  </si>
  <si>
    <t>Cust-4337</t>
  </si>
  <si>
    <t>Ord-2025-10110</t>
  </si>
  <si>
    <t>Cust-3740</t>
  </si>
  <si>
    <t>Ord-2024-10111</t>
  </si>
  <si>
    <t>Cust-7128</t>
  </si>
  <si>
    <t>Ord-2025-10112</t>
  </si>
  <si>
    <t>Cust-4743</t>
  </si>
  <si>
    <t>Ord-2024-10113</t>
  </si>
  <si>
    <t>Cust-5213</t>
  </si>
  <si>
    <t>Ord-2024-10114</t>
  </si>
  <si>
    <t>Ord-2024-10115</t>
  </si>
  <si>
    <t>Cust-2927</t>
  </si>
  <si>
    <t>Ord-2024-10116</t>
  </si>
  <si>
    <t>Cust-7764</t>
  </si>
  <si>
    <t>Ord-2025-10117</t>
  </si>
  <si>
    <t>Cust-3632</t>
  </si>
  <si>
    <t>Ord-2024-10118</t>
  </si>
  <si>
    <t>Cust-9608</t>
  </si>
  <si>
    <t>Ord-2024-10119</t>
  </si>
  <si>
    <t>Cust-9135</t>
  </si>
  <si>
    <t>Ord-2024-10120</t>
  </si>
  <si>
    <t>Cust-7861</t>
  </si>
  <si>
    <t>Ord-2024-10121</t>
  </si>
  <si>
    <t>Cust-6096</t>
  </si>
  <si>
    <t>Ord-2025-10122</t>
  </si>
  <si>
    <t>Cust-2044</t>
  </si>
  <si>
    <t>Ord-2024-10123</t>
  </si>
  <si>
    <t>Cust-1721</t>
  </si>
  <si>
    <t>Ord-2024-10124</t>
  </si>
  <si>
    <t>Cust-1007</t>
  </si>
  <si>
    <t>Ord-2024-10125</t>
  </si>
  <si>
    <t>Cust-4450</t>
  </si>
  <si>
    <t>Ord-2025-10126</t>
  </si>
  <si>
    <t>Cust-7924</t>
  </si>
  <si>
    <t>Ord-2025-10127</t>
  </si>
  <si>
    <t>Cust-1715</t>
  </si>
  <si>
    <t>Ord-2025-10128</t>
  </si>
  <si>
    <t>Cust-6802</t>
  </si>
  <si>
    <t>Ord-2024-10129</t>
  </si>
  <si>
    <t>Cust-9328</t>
  </si>
  <si>
    <t>Ord-2024-10130</t>
  </si>
  <si>
    <t>Cust-2588</t>
  </si>
  <si>
    <t>Ord-2024-10131</t>
  </si>
  <si>
    <t>Cust-5435</t>
  </si>
  <si>
    <t>Ord-2025-10132</t>
  </si>
  <si>
    <t>Cust-7637</t>
  </si>
  <si>
    <t>Ord-2024-10133</t>
  </si>
  <si>
    <t>Cust-3602</t>
  </si>
  <si>
    <t>Ord-2024-10134</t>
  </si>
  <si>
    <t>Cust-9441</t>
  </si>
  <si>
    <t>Ord-2025-10135</t>
  </si>
  <si>
    <t>Cust-7361</t>
  </si>
  <si>
    <t>Ord-2025-10136</t>
  </si>
  <si>
    <t>Cust-1148</t>
  </si>
  <si>
    <t>Ord-2025-10137</t>
  </si>
  <si>
    <t>Cust-3350</t>
  </si>
  <si>
    <t>Ord-2025-10138</t>
  </si>
  <si>
    <t>Cust-7932</t>
  </si>
  <si>
    <t>Ord-2024-10139</t>
  </si>
  <si>
    <t>Cust-7173</t>
  </si>
  <si>
    <t>Ord-2025-10140</t>
  </si>
  <si>
    <t>Cust-4225</t>
  </si>
  <si>
    <t>Ord-2024-10141</t>
  </si>
  <si>
    <t>Cust-2149</t>
  </si>
  <si>
    <t>Ord-2024-10142</t>
  </si>
  <si>
    <t>Cust-3314</t>
  </si>
  <si>
    <t>Ord-2024-10143</t>
  </si>
  <si>
    <t>Cust-8944</t>
  </si>
  <si>
    <t>Ord-2024-10144</t>
  </si>
  <si>
    <t>Cust-3144</t>
  </si>
  <si>
    <t>Ord-2024-10145</t>
  </si>
  <si>
    <t>Cust-6747</t>
  </si>
  <si>
    <t>Ord-2025-10146</t>
  </si>
  <si>
    <t>Cust-6161</t>
  </si>
  <si>
    <t>Ord-2025-10147</t>
  </si>
  <si>
    <t>Cust-1460</t>
  </si>
  <si>
    <t>Ord-2024-10148</t>
  </si>
  <si>
    <t>Cust-2692</t>
  </si>
  <si>
    <t>Ord-2025-10149</t>
  </si>
  <si>
    <t>Cust-2822</t>
  </si>
  <si>
    <t>Ord-2024-10150</t>
  </si>
  <si>
    <t>Cust-5876</t>
  </si>
  <si>
    <t>Ord-2024-10151</t>
  </si>
  <si>
    <t>Cust-4661</t>
  </si>
  <si>
    <t>Ord-2024-10152</t>
  </si>
  <si>
    <t>Cust-6011</t>
  </si>
  <si>
    <t>Ord-2024-10153</t>
  </si>
  <si>
    <t>Cust-6160</t>
  </si>
  <si>
    <t>Ord-2025-10154</t>
  </si>
  <si>
    <t>Cust-6971</t>
  </si>
  <si>
    <t>Ord-2024-10155</t>
  </si>
  <si>
    <t>Ord-2025-10156</t>
  </si>
  <si>
    <t>Cust-8327</t>
  </si>
  <si>
    <t>Ord-2025-10157</t>
  </si>
  <si>
    <t>Cust-4058</t>
  </si>
  <si>
    <t>Ord-2024-10158</t>
  </si>
  <si>
    <t>Cust-1142</t>
  </si>
  <si>
    <t>Ord-2024-10159</t>
  </si>
  <si>
    <t>Cust-2324</t>
  </si>
  <si>
    <t>Ord-2025-10160</t>
  </si>
  <si>
    <t>Cust-7717</t>
  </si>
  <si>
    <t>Ord-2025-10161</t>
  </si>
  <si>
    <t>Cust-4932</t>
  </si>
  <si>
    <t>Ord-2025-10162</t>
  </si>
  <si>
    <t>Cust-2367</t>
  </si>
  <si>
    <t>Ord-2024-10163</t>
  </si>
  <si>
    <t>Cust-4830</t>
  </si>
  <si>
    <t>Ord-2025-10164</t>
  </si>
  <si>
    <t>Cust-2548</t>
  </si>
  <si>
    <t>Ord-2025-10165</t>
  </si>
  <si>
    <t>Cust-3833</t>
  </si>
  <si>
    <t>Ord-2024-10166</t>
  </si>
  <si>
    <t>Cust-4598</t>
  </si>
  <si>
    <t>Ord-2025-10167</t>
  </si>
  <si>
    <t>Cust-7215</t>
  </si>
  <si>
    <t>Ord-2025-10168</t>
  </si>
  <si>
    <t>Cust-7770</t>
  </si>
  <si>
    <t>Ord-2025-10169</t>
  </si>
  <si>
    <t>Cust-9756</t>
  </si>
  <si>
    <t>Ord-2025-10170</t>
  </si>
  <si>
    <t>Cust-2261</t>
  </si>
  <si>
    <t>Ord-2025-10171</t>
  </si>
  <si>
    <t>Cust-3734</t>
  </si>
  <si>
    <t>Ord-2025-10172</t>
  </si>
  <si>
    <t>Cust-3436</t>
  </si>
  <si>
    <t>Ord-2025-10173</t>
  </si>
  <si>
    <t>Cust-4845</t>
  </si>
  <si>
    <t>Ord-2024-10174</t>
  </si>
  <si>
    <t>Cust-6153</t>
  </si>
  <si>
    <t>Ord-2025-10175</t>
  </si>
  <si>
    <t>Cust-5475</t>
  </si>
  <si>
    <t>Ord-2024-10176</t>
  </si>
  <si>
    <t>Cust-5580</t>
  </si>
  <si>
    <t>Ord-2025-10177</t>
  </si>
  <si>
    <t>Cust-3027</t>
  </si>
  <si>
    <t>Ord-2024-10178</t>
  </si>
  <si>
    <t>Cust-4399</t>
  </si>
  <si>
    <t>Ord-2024-10179</t>
  </si>
  <si>
    <t>Cust-3092</t>
  </si>
  <si>
    <t>Ord-2024-10180</t>
  </si>
  <si>
    <t>Cust-1778</t>
  </si>
  <si>
    <t>Ord-2024-10181</t>
  </si>
  <si>
    <t>Cust-3787</t>
  </si>
  <si>
    <t>Ord-2025-10182</t>
  </si>
  <si>
    <t>Cust-5119</t>
  </si>
  <si>
    <t>Ord-2024-10183</t>
  </si>
  <si>
    <t>Cust-4121</t>
  </si>
  <si>
    <t>Ord-2025-10184</t>
  </si>
  <si>
    <t>Cust-3366</t>
  </si>
  <si>
    <t>Ord-2024-10185</t>
  </si>
  <si>
    <t>Cust-1358</t>
  </si>
  <si>
    <t>Ord-2024-10186</t>
  </si>
  <si>
    <t>Cust-4968</t>
  </si>
  <si>
    <t>Ord-2024-10187</t>
  </si>
  <si>
    <t>Ord-2025-10188</t>
  </si>
  <si>
    <t>Cust-3109</t>
  </si>
  <si>
    <t>Ord-2025-10189</t>
  </si>
  <si>
    <t>Cust-3422</t>
  </si>
  <si>
    <t>Ord-2025-10190</t>
  </si>
  <si>
    <t>Cust-3375</t>
  </si>
  <si>
    <t>Ord-2025-10191</t>
  </si>
  <si>
    <t>Cust-5138</t>
  </si>
  <si>
    <t>Ord-2024-10192</t>
  </si>
  <si>
    <t>Cust-7410</t>
  </si>
  <si>
    <t>Ord-2024-10193</t>
  </si>
  <si>
    <t>Cust-7115</t>
  </si>
  <si>
    <t>Ord-2024-10194</t>
  </si>
  <si>
    <t>Cust-9853</t>
  </si>
  <si>
    <t>Ord-2025-10195</t>
  </si>
  <si>
    <t>Cust-3637</t>
  </si>
  <si>
    <t>Ord-2025-10196</t>
  </si>
  <si>
    <t>Cust-4328</t>
  </si>
  <si>
    <t>Ord-2024-10197</t>
  </si>
  <si>
    <t>Cust-8028</t>
  </si>
  <si>
    <t>Ord-2025-10198</t>
  </si>
  <si>
    <t>Ord-2024-10199</t>
  </si>
  <si>
    <t>Cust-7820</t>
  </si>
  <si>
    <t>Ord-2024-10200</t>
  </si>
  <si>
    <t>Cust-4536</t>
  </si>
  <si>
    <t>Ord-2025-10201</t>
  </si>
  <si>
    <t>Cust-7047</t>
  </si>
  <si>
    <t>Ord-2025-10202</t>
  </si>
  <si>
    <t>Cust-8005</t>
  </si>
  <si>
    <t>Ord-2025-10203</t>
  </si>
  <si>
    <t>Cust-9378</t>
  </si>
  <si>
    <t>Ord-2024-10204</t>
  </si>
  <si>
    <t>Cust-3384</t>
  </si>
  <si>
    <t>Ord-2025-10205</t>
  </si>
  <si>
    <t>Cust-1986</t>
  </si>
  <si>
    <t>Ord-2025-10206</t>
  </si>
  <si>
    <t>Cust-3338</t>
  </si>
  <si>
    <t>Ord-2025-10207</t>
  </si>
  <si>
    <t>Cust-2343</t>
  </si>
  <si>
    <t>Ord-2024-10208</t>
  </si>
  <si>
    <t>Cust-3362</t>
  </si>
  <si>
    <t>Ord-2025-10209</t>
  </si>
  <si>
    <t>Cust-3662</t>
  </si>
  <si>
    <t>Ord-2025-10210</t>
  </si>
  <si>
    <t>Cust-4947</t>
  </si>
  <si>
    <t>Ord-2024-10211</t>
  </si>
  <si>
    <t>Cust-3076</t>
  </si>
  <si>
    <t>Ord-2024-10212</t>
  </si>
  <si>
    <t>Cust-2222</t>
  </si>
  <si>
    <t>Ord-2024-10213</t>
  </si>
  <si>
    <t>Cust-3610</t>
  </si>
  <si>
    <t>Ord-2024-10214</t>
  </si>
  <si>
    <t>Cust-9136</t>
  </si>
  <si>
    <t>Ord-2024-10215</t>
  </si>
  <si>
    <t>Cust-1301</t>
  </si>
  <si>
    <t>Ord-2024-10216</t>
  </si>
  <si>
    <t>Cust-8603</t>
  </si>
  <si>
    <t>Ord-2025-10217</t>
  </si>
  <si>
    <t>Cust-4330</t>
  </si>
  <si>
    <t>Ord-2025-10218</t>
  </si>
  <si>
    <t>Cust-4533</t>
  </si>
  <si>
    <t>Ord-2025-10219</t>
  </si>
  <si>
    <t>Cust-8270</t>
  </si>
  <si>
    <t>Ord-2024-10220</t>
  </si>
  <si>
    <t>Cust-1472</t>
  </si>
  <si>
    <t>Ord-2024-10221</t>
  </si>
  <si>
    <t>Cust-1031</t>
  </si>
  <si>
    <t>Ord-2025-10222</t>
  </si>
  <si>
    <t>Cust-2495</t>
  </si>
  <si>
    <t>Ord-2025-10223</t>
  </si>
  <si>
    <t>Cust-4583</t>
  </si>
  <si>
    <t>Ord-2025-10224</t>
  </si>
  <si>
    <t>Cust-5319</t>
  </si>
  <si>
    <t>Ord-2025-10225</t>
  </si>
  <si>
    <t>Cust-9871</t>
  </si>
  <si>
    <t>Ord-2024-10226</t>
  </si>
  <si>
    <t>Cust-1266</t>
  </si>
  <si>
    <t>Ord-2025-10227</t>
  </si>
  <si>
    <t>Cust-2545</t>
  </si>
  <si>
    <t>Ord-2024-10228</t>
  </si>
  <si>
    <t>Cust-2819</t>
  </si>
  <si>
    <t>Ord-2024-10229</t>
  </si>
  <si>
    <t>Cust-1076</t>
  </si>
  <si>
    <t>Ord-2025-10230</t>
  </si>
  <si>
    <t>Cust-1943</t>
  </si>
  <si>
    <t>Ord-2024-10231</t>
  </si>
  <si>
    <t>Cust-3434</t>
  </si>
  <si>
    <t>Ord-2024-10232</t>
  </si>
  <si>
    <t>Cust-9139</t>
  </si>
  <si>
    <t>Ord-2025-10233</t>
  </si>
  <si>
    <t>Cust-5341</t>
  </si>
  <si>
    <t>Ord-2024-10234</t>
  </si>
  <si>
    <t>Cust-3710</t>
  </si>
  <si>
    <t>Ord-2024-10235</t>
  </si>
  <si>
    <t>Cust-9754</t>
  </si>
  <si>
    <t>Ord-2024-10236</t>
  </si>
  <si>
    <t>Cust-6256</t>
  </si>
  <si>
    <t>Ord-2024-10237</t>
  </si>
  <si>
    <t>Cust-7113</t>
  </si>
  <si>
    <t>Ord-2024-10238</t>
  </si>
  <si>
    <t>Cust-3827</t>
  </si>
  <si>
    <t>Ord-2024-10239</t>
  </si>
  <si>
    <t>Cust-2375</t>
  </si>
  <si>
    <t>Ord-2024-10240</t>
  </si>
  <si>
    <t>Cust-2233</t>
  </si>
  <si>
    <t>Ord-2024-10241</t>
  </si>
  <si>
    <t>Cust-9778</t>
  </si>
  <si>
    <t>Ord-2025-10242</t>
  </si>
  <si>
    <t>Cust-6949</t>
  </si>
  <si>
    <t>Ord-2025-10243</t>
  </si>
  <si>
    <t>Cust-3430</t>
  </si>
  <si>
    <t>Ord-2025-10244</t>
  </si>
  <si>
    <t>Cust-6310</t>
  </si>
  <si>
    <t>Ord-2024-10245</t>
  </si>
  <si>
    <t>Cust-6008</t>
  </si>
  <si>
    <t>Ord-2024-10246</t>
  </si>
  <si>
    <t>Cust-1704</t>
  </si>
  <si>
    <t>Ord-2024-10247</t>
  </si>
  <si>
    <t>Cust-1827</t>
  </si>
  <si>
    <t>Ord-2024-10248</t>
  </si>
  <si>
    <t>Cust-6663</t>
  </si>
  <si>
    <t>Ord-2024-10249</t>
  </si>
  <si>
    <t>Cust-6278</t>
  </si>
  <si>
    <t>Ord-2025-10250</t>
  </si>
  <si>
    <t>Cust-2305</t>
  </si>
  <si>
    <t>Ord-2024-10251</t>
  </si>
  <si>
    <t>Cust-5351</t>
  </si>
  <si>
    <t>Ord-2025-10252</t>
  </si>
  <si>
    <t>Cust-6268</t>
  </si>
  <si>
    <t>Ord-2025-10253</t>
  </si>
  <si>
    <t>Cust-2103</t>
  </si>
  <si>
    <t>Ord-2024-10254</t>
  </si>
  <si>
    <t>Cust-5394</t>
  </si>
  <si>
    <t>Ord-2025-10255</t>
  </si>
  <si>
    <t>Cust-6853</t>
  </si>
  <si>
    <t>Ord-2025-10256</t>
  </si>
  <si>
    <t>Cust-1549</t>
  </si>
  <si>
    <t>Ord-2024-10257</t>
  </si>
  <si>
    <t>Cust-8411</t>
  </si>
  <si>
    <t>Ord-2025-10258</t>
  </si>
  <si>
    <t>Cust-5615</t>
  </si>
  <si>
    <t>Ord-2024-10259</t>
  </si>
  <si>
    <t>Cust-8467</t>
  </si>
  <si>
    <t>Ord-2024-10260</t>
  </si>
  <si>
    <t>Cust-5174</t>
  </si>
  <si>
    <t>Ord-2025-10261</t>
  </si>
  <si>
    <t>Cust-3543</t>
  </si>
  <si>
    <t>Ord-2025-10262</t>
  </si>
  <si>
    <t>Cust-7623</t>
  </si>
  <si>
    <t>Ord-2025-10263</t>
  </si>
  <si>
    <t>Ord-2025-10264</t>
  </si>
  <si>
    <t>Cust-8265</t>
  </si>
  <si>
    <t>Ord-2024-10265</t>
  </si>
  <si>
    <t>Cust-4750</t>
  </si>
  <si>
    <t>Ord-2024-10266</t>
  </si>
  <si>
    <t>Cust-3974</t>
  </si>
  <si>
    <t>Ord-2025-10267</t>
  </si>
  <si>
    <t>Cust-7114</t>
  </si>
  <si>
    <t>Ord-2025-10268</t>
  </si>
  <si>
    <t>Cust-4431</t>
  </si>
  <si>
    <t>Ord-2025-10269</t>
  </si>
  <si>
    <t>Cust-1488</t>
  </si>
  <si>
    <t>Ord-2025-10270</t>
  </si>
  <si>
    <t>Cust-1586</t>
  </si>
  <si>
    <t>Ord-2024-10271</t>
  </si>
  <si>
    <t>Cust-2487</t>
  </si>
  <si>
    <t>Ord-2024-10272</t>
  </si>
  <si>
    <t>Cust-8009</t>
  </si>
  <si>
    <t>Ord-2024-10273</t>
  </si>
  <si>
    <t>Cust-7389</t>
  </si>
  <si>
    <t>Ord-2025-10274</t>
  </si>
  <si>
    <t>Cust-8249</t>
  </si>
  <si>
    <t>Ord-2024-10275</t>
  </si>
  <si>
    <t>Cust-4202</t>
  </si>
  <si>
    <t>Ord-2024-10276</t>
  </si>
  <si>
    <t>Cust-2875</t>
  </si>
  <si>
    <t>Ord-2024-10277</t>
  </si>
  <si>
    <t>Cust-7039</t>
  </si>
  <si>
    <t>Ord-2025-10278</t>
  </si>
  <si>
    <t>Ord-2025-10279</t>
  </si>
  <si>
    <t>Cust-8242</t>
  </si>
  <si>
    <t>Ord-2024-10280</t>
  </si>
  <si>
    <t>Cust-4571</t>
  </si>
  <si>
    <t>Ord-2024-10281</t>
  </si>
  <si>
    <t>Cust-4098</t>
  </si>
  <si>
    <t>Ord-2025-10282</t>
  </si>
  <si>
    <t>Cust-2052</t>
  </si>
  <si>
    <t>Ord-2024-10283</t>
  </si>
  <si>
    <t>Cust-9445</t>
  </si>
  <si>
    <t>Ord-2025-10284</t>
  </si>
  <si>
    <t>Cust-6568</t>
  </si>
  <si>
    <t>Ord-2024-10285</t>
  </si>
  <si>
    <t>Cust-2076</t>
  </si>
  <si>
    <t>Ord-2025-10286</t>
  </si>
  <si>
    <t>Cust-5610</t>
  </si>
  <si>
    <t>Ord-2024-10287</t>
  </si>
  <si>
    <t>Cust-5823</t>
  </si>
  <si>
    <t>Ord-2024-10288</t>
  </si>
  <si>
    <t>Cust-7095</t>
  </si>
  <si>
    <t>Ord-2024-10289</t>
  </si>
  <si>
    <t>Cust-4805</t>
  </si>
  <si>
    <t>Ord-2025-10290</t>
  </si>
  <si>
    <t>Cust-9114</t>
  </si>
  <si>
    <t>Ord-2025-10291</t>
  </si>
  <si>
    <t>Cust-8557</t>
  </si>
  <si>
    <t>Ord-2024-10292</t>
  </si>
  <si>
    <t>Cust-2860</t>
  </si>
  <si>
    <t>Ord-2025-10293</t>
  </si>
  <si>
    <t>Cust-7837</t>
  </si>
  <si>
    <t>Ord-2024-10294</t>
  </si>
  <si>
    <t>Cust-7010</t>
  </si>
  <si>
    <t>Ord-2025-10295</t>
  </si>
  <si>
    <t>Cust-4755</t>
  </si>
  <si>
    <t>Ord-2025-10296</t>
  </si>
  <si>
    <t>Cust-6778</t>
  </si>
  <si>
    <t>Ord-2025-10297</t>
  </si>
  <si>
    <t>Cust-7629</t>
  </si>
  <si>
    <t>Ord-2024-10298</t>
  </si>
  <si>
    <t>Cust-6724</t>
  </si>
  <si>
    <t>Ord-2025-10299</t>
  </si>
  <si>
    <t>Cust-2141</t>
  </si>
  <si>
    <t>Ord-2024-10300</t>
  </si>
  <si>
    <t>Cust-7264</t>
  </si>
  <si>
    <t>Ord-2024-10301</t>
  </si>
  <si>
    <t>Cust-2668</t>
  </si>
  <si>
    <t>Ord-2025-10302</t>
  </si>
  <si>
    <t>Cust-5599</t>
  </si>
  <si>
    <t>Ord-2025-10303</t>
  </si>
  <si>
    <t>Cust-1623</t>
  </si>
  <si>
    <t>Ord-2024-10304</t>
  </si>
  <si>
    <t>Cust-9035</t>
  </si>
  <si>
    <t>Ord-2024-10305</t>
  </si>
  <si>
    <t>Cust-6286</t>
  </si>
  <si>
    <t>Ord-2024-10306</t>
  </si>
  <si>
    <t>Cust-7246</t>
  </si>
  <si>
    <t>Ord-2025-10307</t>
  </si>
  <si>
    <t>Cust-2589</t>
  </si>
  <si>
    <t>Ord-2025-10308</t>
  </si>
  <si>
    <t>Cust-4153</t>
  </si>
  <si>
    <t>Ord-2025-10309</t>
  </si>
  <si>
    <t>Cust-6727</t>
  </si>
  <si>
    <t>Ord-2024-10310</t>
  </si>
  <si>
    <t>Cust-8860</t>
  </si>
  <si>
    <t>Ord-2024-10311</t>
  </si>
  <si>
    <t>Cust-3784</t>
  </si>
  <si>
    <t>Ord-2024-10312</t>
  </si>
  <si>
    <t>Cust-3545</t>
  </si>
  <si>
    <t>Ord-2024-10313</t>
  </si>
  <si>
    <t>Cust-4851</t>
  </si>
  <si>
    <t>Ord-2025-10314</t>
  </si>
  <si>
    <t>Cust-4770</t>
  </si>
  <si>
    <t>Ord-2025-10315</t>
  </si>
  <si>
    <t>Cust-1945</t>
  </si>
  <si>
    <t>Ord-2024-10316</t>
  </si>
  <si>
    <t>Cust-7565</t>
  </si>
  <si>
    <t>Ord-2024-10317</t>
  </si>
  <si>
    <t>Cust-9913</t>
  </si>
  <si>
    <t>Ord-2025-10318</t>
  </si>
  <si>
    <t>Cust-7992</t>
  </si>
  <si>
    <t>Ord-2024-10319</t>
  </si>
  <si>
    <t>Cust-8877</t>
  </si>
  <si>
    <t>Ord-2024-10320</t>
  </si>
  <si>
    <t>Cust-4589</t>
  </si>
  <si>
    <t>Ord-2024-10321</t>
  </si>
  <si>
    <t>Cust-4667</t>
  </si>
  <si>
    <t>Ord-2024-10322</t>
  </si>
  <si>
    <t>Cust-7821</t>
  </si>
  <si>
    <t>Ord-2024-10323</t>
  </si>
  <si>
    <t>Cust-8579</t>
  </si>
  <si>
    <t>Ord-2024-10324</t>
  </si>
  <si>
    <t>Cust-6909</t>
  </si>
  <si>
    <t>Ord-2025-10325</t>
  </si>
  <si>
    <t>Cust-7212</t>
  </si>
  <si>
    <t>Ord-2025-10326</t>
  </si>
  <si>
    <t>Cust-7980</t>
  </si>
  <si>
    <t>Ord-2025-10327</t>
  </si>
  <si>
    <t>Cust-1966</t>
  </si>
  <si>
    <t>Ord-2024-10328</t>
  </si>
  <si>
    <t>Cust-6163</t>
  </si>
  <si>
    <t>Ord-2025-10329</t>
  </si>
  <si>
    <t>Cust-7239</t>
  </si>
  <si>
    <t>Ord-2025-10330</t>
  </si>
  <si>
    <t>Cust-9718</t>
  </si>
  <si>
    <t>Ord-2024-10331</t>
  </si>
  <si>
    <t>Cust-1116</t>
  </si>
  <si>
    <t>Ord-2024-10332</t>
  </si>
  <si>
    <t>Cust-9346</t>
  </si>
  <si>
    <t>Ord-2025-10333</t>
  </si>
  <si>
    <t>Cust-5332</t>
  </si>
  <si>
    <t>Ord-2025-10334</t>
  </si>
  <si>
    <t>Cust-8081</t>
  </si>
  <si>
    <t>Ord-2024-10335</t>
  </si>
  <si>
    <t>Cust-3062</t>
  </si>
  <si>
    <t>Ord-2025-10336</t>
  </si>
  <si>
    <t>Cust-3621</t>
  </si>
  <si>
    <t>Ord-2024-10337</t>
  </si>
  <si>
    <t>Ord-2024-10338</t>
  </si>
  <si>
    <t>Cust-4599</t>
  </si>
  <si>
    <t>Ord-2024-10339</t>
  </si>
  <si>
    <t>Cust-3066</t>
  </si>
  <si>
    <t>Ord-2025-10340</t>
  </si>
  <si>
    <t>Cust-2752</t>
  </si>
  <si>
    <t>Ord-2024-10341</t>
  </si>
  <si>
    <t>Cust-6291</t>
  </si>
  <si>
    <t>Ord-2025-10342</t>
  </si>
  <si>
    <t>Cust-9969</t>
  </si>
  <si>
    <t>Ord-2025-10343</t>
  </si>
  <si>
    <t>Cust-3335</t>
  </si>
  <si>
    <t>Ord-2025-10344</t>
  </si>
  <si>
    <t>Cust-7358</t>
  </si>
  <si>
    <t>Ord-2024-10345</t>
  </si>
  <si>
    <t>Cust-8025</t>
  </si>
  <si>
    <t>Ord-2024-10346</t>
  </si>
  <si>
    <t>Cust-4634</t>
  </si>
  <si>
    <t>Ord-2025-10347</t>
  </si>
  <si>
    <t>Cust-3400</t>
  </si>
  <si>
    <t>Ord-2024-10348</t>
  </si>
  <si>
    <t>Cust-1172</t>
  </si>
  <si>
    <t>Ord-2024-10349</t>
  </si>
  <si>
    <t>Cust-9517</t>
  </si>
  <si>
    <t>Ord-2025-10350</t>
  </si>
  <si>
    <t>Cust-6697</t>
  </si>
  <si>
    <t>Ord-2024-10351</t>
  </si>
  <si>
    <t>Cust-7644</t>
  </si>
  <si>
    <t>Ord-2025-10352</t>
  </si>
  <si>
    <t>Cust-9963</t>
  </si>
  <si>
    <t>Ord-2025-10353</t>
  </si>
  <si>
    <t>Cust-6382</t>
  </si>
  <si>
    <t>Ord-2025-10354</t>
  </si>
  <si>
    <t>Cust-3253</t>
  </si>
  <si>
    <t>Ord-2024-10355</t>
  </si>
  <si>
    <t>Cust-1058</t>
  </si>
  <si>
    <t>Ord-2024-10356</t>
  </si>
  <si>
    <t>Cust-6414</t>
  </si>
  <si>
    <t>Ord-2025-10357</t>
  </si>
  <si>
    <t>Cust-9268</t>
  </si>
  <si>
    <t>Ord-2025-10358</t>
  </si>
  <si>
    <t>Cust-1363</t>
  </si>
  <si>
    <t>Ord-2025-10359</t>
  </si>
  <si>
    <t>Cust-2477</t>
  </si>
  <si>
    <t>Ord-2024-10360</t>
  </si>
  <si>
    <t>Cust-9571</t>
  </si>
  <si>
    <t>Ord-2024-10361</t>
  </si>
  <si>
    <t>Cust-3690</t>
  </si>
  <si>
    <t>Ord-2025-10362</t>
  </si>
  <si>
    <t>Cust-2909</t>
  </si>
  <si>
    <t>Ord-2024-10363</t>
  </si>
  <si>
    <t>Cust-6755</t>
  </si>
  <si>
    <t>Ord-2025-10364</t>
  </si>
  <si>
    <t>Cust-1832</t>
  </si>
  <si>
    <t>Ord-2025-10365</t>
  </si>
  <si>
    <t>Cust-4452</t>
  </si>
  <si>
    <t>Ord-2024-10366</t>
  </si>
  <si>
    <t>Cust-2203</t>
  </si>
  <si>
    <t>Ord-2025-10367</t>
  </si>
  <si>
    <t>Cust-5397</t>
  </si>
  <si>
    <t>Ord-2024-10368</t>
  </si>
  <si>
    <t>Cust-4696</t>
  </si>
  <si>
    <t>Ord-2025-10369</t>
  </si>
  <si>
    <t>Cust-8246</t>
  </si>
  <si>
    <t>Ord-2025-10370</t>
  </si>
  <si>
    <t>Cust-5672</t>
  </si>
  <si>
    <t>Ord-2024-10371</t>
  </si>
  <si>
    <t>Cust-8521</t>
  </si>
  <si>
    <t>Ord-2024-10372</t>
  </si>
  <si>
    <t>Cust-2204</t>
  </si>
  <si>
    <t>Ord-2025-10373</t>
  </si>
  <si>
    <t>Ord-2025-10374</t>
  </si>
  <si>
    <t>Cust-8566</t>
  </si>
  <si>
    <t>Ord-2025-10375</t>
  </si>
  <si>
    <t>Cust-2358</t>
  </si>
  <si>
    <t>Ord-2024-10376</t>
  </si>
  <si>
    <t>Cust-2810</t>
  </si>
  <si>
    <t>Ord-2024-10377</t>
  </si>
  <si>
    <t>Cust-5166</t>
  </si>
  <si>
    <t>Ord-2025-10378</t>
  </si>
  <si>
    <t>Cust-4875</t>
  </si>
  <si>
    <t>Ord-2025-10379</t>
  </si>
  <si>
    <t>Cust-3154</t>
  </si>
  <si>
    <t>Ord-2024-10380</t>
  </si>
  <si>
    <t>Cust-6405</t>
  </si>
  <si>
    <t>Ord-2024-10381</t>
  </si>
  <si>
    <t>Cust-5779</t>
  </si>
  <si>
    <t>Ord-2025-10382</t>
  </si>
  <si>
    <t>Cust-9943</t>
  </si>
  <si>
    <t>Ord-2025-10383</t>
  </si>
  <si>
    <t>Ord-2025-10384</t>
  </si>
  <si>
    <t>Cust-7438</t>
  </si>
  <si>
    <t>Ord-2024-10385</t>
  </si>
  <si>
    <t>Cust-8432</t>
  </si>
  <si>
    <t>Ord-2025-10386</t>
  </si>
  <si>
    <t>Cust-2834</t>
  </si>
  <si>
    <t>Ord-2025-10387</t>
  </si>
  <si>
    <t>Cust-4222</t>
  </si>
  <si>
    <t>Ord-2025-10388</t>
  </si>
  <si>
    <t>Cust-1053</t>
  </si>
  <si>
    <t>Ord-2024-10389</t>
  </si>
  <si>
    <t>Cust-1457</t>
  </si>
  <si>
    <t>Ord-2024-10390</t>
  </si>
  <si>
    <t>Cust-3930</t>
  </si>
  <si>
    <t>Ord-2024-10391</t>
  </si>
  <si>
    <t>Cust-7853</t>
  </si>
  <si>
    <t>Ord-2025-10392</t>
  </si>
  <si>
    <t>Cust-2267</t>
  </si>
  <si>
    <t>Ord-2024-10393</t>
  </si>
  <si>
    <t>Cust-6866</t>
  </si>
  <si>
    <t>Ord-2024-10394</t>
  </si>
  <si>
    <t>Cust-3160</t>
  </si>
  <si>
    <t>Ord-2024-10395</t>
  </si>
  <si>
    <t>Cust-8444</t>
  </si>
  <si>
    <t>Ord-2024-10396</t>
  </si>
  <si>
    <t>Cust-4765</t>
  </si>
  <si>
    <t>Ord-2025-10397</t>
  </si>
  <si>
    <t>Cust-2280</t>
  </si>
  <si>
    <t>Ord-2025-10398</t>
  </si>
  <si>
    <t>Cust-3177</t>
  </si>
  <si>
    <t>Ord-2024-10399</t>
  </si>
  <si>
    <t>Cust-4718</t>
  </si>
  <si>
    <t>Ord-2025-10400</t>
  </si>
  <si>
    <t>Cust-5647</t>
  </si>
  <si>
    <t>Ord-2025-10401</t>
  </si>
  <si>
    <t>Cust-7150</t>
  </si>
  <si>
    <t>Ord-2025-10402</t>
  </si>
  <si>
    <t>Cust-6694</t>
  </si>
  <si>
    <t>Ord-2024-10403</t>
  </si>
  <si>
    <t>Cust-7680</t>
  </si>
  <si>
    <t>Ord-2024-10404</t>
  </si>
  <si>
    <t>Cust-2700</t>
  </si>
  <si>
    <t>Ord-2024-10405</t>
  </si>
  <si>
    <t>Cust-2904</t>
  </si>
  <si>
    <t>Ord-2024-10406</t>
  </si>
  <si>
    <t>Cust-9961</t>
  </si>
  <si>
    <t>Ord-2025-10407</t>
  </si>
  <si>
    <t>Cust-9909</t>
  </si>
  <si>
    <t>Ord-2024-10408</t>
  </si>
  <si>
    <t>Cust-8520</t>
  </si>
  <si>
    <t>Ord-2025-10409</t>
  </si>
  <si>
    <t>Cust-5036</t>
  </si>
  <si>
    <t>Ord-2025-10410</t>
  </si>
  <si>
    <t>Cust-7721</t>
  </si>
  <si>
    <t>Ord-2024-10411</t>
  </si>
  <si>
    <t>Cust-9495</t>
  </si>
  <si>
    <t>Ord-2025-10412</t>
  </si>
  <si>
    <t>Cust-2855</t>
  </si>
  <si>
    <t>Ord-2024-10413</t>
  </si>
  <si>
    <t>Cust-4329</t>
  </si>
  <si>
    <t>Ord-2025-10414</t>
  </si>
  <si>
    <t>Cust-5094</t>
  </si>
  <si>
    <t>Ord-2024-10415</t>
  </si>
  <si>
    <t>Cust-4194</t>
  </si>
  <si>
    <t>Ord-2024-10416</t>
  </si>
  <si>
    <t>Cust-7087</t>
  </si>
  <si>
    <t>Ord-2025-10417</t>
  </si>
  <si>
    <t>Cust-7608</t>
  </si>
  <si>
    <t>Ord-2025-10418</t>
  </si>
  <si>
    <t>Cust-5269</t>
  </si>
  <si>
    <t>Ord-2024-10419</t>
  </si>
  <si>
    <t>Cust-7925</t>
  </si>
  <si>
    <t>Ord-2025-10420</t>
  </si>
  <si>
    <t>Cust-6552</t>
  </si>
  <si>
    <t>Ord-2025-10421</t>
  </si>
  <si>
    <t>Cust-7131</t>
  </si>
  <si>
    <t>Ord-2025-10422</t>
  </si>
  <si>
    <t>Cust-2779</t>
  </si>
  <si>
    <t>Ord-2025-10423</t>
  </si>
  <si>
    <t>Cust-6077</t>
  </si>
  <si>
    <t>Ord-2024-10424</t>
  </si>
  <si>
    <t>Cust-6169</t>
  </si>
  <si>
    <t>Ord-2024-10425</t>
  </si>
  <si>
    <t>Cust-8904</t>
  </si>
  <si>
    <t>Ord-2024-10426</t>
  </si>
  <si>
    <t>Cust-9586</t>
  </si>
  <si>
    <t>Ord-2024-10427</t>
  </si>
  <si>
    <t>Cust-5431</t>
  </si>
  <si>
    <t>Ord-2025-10428</t>
  </si>
  <si>
    <t>Cust-8843</t>
  </si>
  <si>
    <t>Ord-2025-10429</t>
  </si>
  <si>
    <t>Cust-7626</t>
  </si>
  <si>
    <t>Ord-2025-10430</t>
  </si>
  <si>
    <t>Cust-8562</t>
  </si>
  <si>
    <t>Ord-2024-10431</t>
  </si>
  <si>
    <t>Cust-2732</t>
  </si>
  <si>
    <t>Ord-2024-10432</t>
  </si>
  <si>
    <t>Cust-3989</t>
  </si>
  <si>
    <t>Ord-2024-10433</t>
  </si>
  <si>
    <t>Cust-3522</t>
  </si>
  <si>
    <t>Ord-2024-10434</t>
  </si>
  <si>
    <t>Cust-7066</t>
  </si>
  <si>
    <t>Ord-2025-10435</t>
  </si>
  <si>
    <t>Cust-2351</t>
  </si>
  <si>
    <t>Ord-2025-10436</t>
  </si>
  <si>
    <t>Cust-7291</t>
  </si>
  <si>
    <t>Ord-2024-10437</t>
  </si>
  <si>
    <t>Cust-4492</t>
  </si>
  <si>
    <t>Ord-2024-10438</t>
  </si>
  <si>
    <t>Cust-5029</t>
  </si>
  <si>
    <t>Ord-2025-10439</t>
  </si>
  <si>
    <t>Cust-7252</t>
  </si>
  <si>
    <t>Ord-2025-10440</t>
  </si>
  <si>
    <t>Cust-7346</t>
  </si>
  <si>
    <t>Ord-2024-10441</t>
  </si>
  <si>
    <t>Ord-2024-10442</t>
  </si>
  <si>
    <t>Cust-3975</t>
  </si>
  <si>
    <t>Ord-2025-10443</t>
  </si>
  <si>
    <t>Cust-6588</t>
  </si>
  <si>
    <t>Ord-2024-10444</t>
  </si>
  <si>
    <t>Cust-2207</t>
  </si>
  <si>
    <t>Ord-2025-10445</t>
  </si>
  <si>
    <t>Cust-4475</t>
  </si>
  <si>
    <t>Ord-2024-10446</t>
  </si>
  <si>
    <t>Cust-1351</t>
  </si>
  <si>
    <t>Ord-2025-10447</t>
  </si>
  <si>
    <t>Cust-9295</t>
  </si>
  <si>
    <t>Ord-2025-10448</t>
  </si>
  <si>
    <t>Cust-3614</t>
  </si>
  <si>
    <t>Ord-2024-10449</t>
  </si>
  <si>
    <t>Cust-1932</t>
  </si>
  <si>
    <t>Ord-2024-10450</t>
  </si>
  <si>
    <t>Ord-2025-10451</t>
  </si>
  <si>
    <t>Cust-8672</t>
  </si>
  <si>
    <t>Ord-2024-10452</t>
  </si>
  <si>
    <t>Cust-3907</t>
  </si>
  <si>
    <t>Ord-2024-10453</t>
  </si>
  <si>
    <t>Cust-8796</t>
  </si>
  <si>
    <t>Ord-2025-10454</t>
  </si>
  <si>
    <t>Cust-2317</t>
  </si>
  <si>
    <t>Ord-2025-10455</t>
  </si>
  <si>
    <t>Cust-8643</t>
  </si>
  <si>
    <t>Ord-2024-10456</t>
  </si>
  <si>
    <t>Cust-1800</t>
  </si>
  <si>
    <t>Ord-2024-10457</t>
  </si>
  <si>
    <t>Cust-7688</t>
  </si>
  <si>
    <t>Ord-2024-10458</t>
  </si>
  <si>
    <t>Cust-4957</t>
  </si>
  <si>
    <t>Ord-2024-10459</t>
  </si>
  <si>
    <t>Cust-1263</t>
  </si>
  <si>
    <t>Ord-2024-10460</t>
  </si>
  <si>
    <t>Cust-4745</t>
  </si>
  <si>
    <t>Ord-2025-10461</t>
  </si>
  <si>
    <t>Cust-5551</t>
  </si>
  <si>
    <t>Ord-2025-10462</t>
  </si>
  <si>
    <t>Cust-3659</t>
  </si>
  <si>
    <t>Ord-2024-10463</t>
  </si>
  <si>
    <t>Cust-6594</t>
  </si>
  <si>
    <t>Ord-2025-10464</t>
  </si>
  <si>
    <t>Cust-2626</t>
  </si>
  <si>
    <t>Ord-2025-10465</t>
  </si>
  <si>
    <t>Cust-7362</t>
  </si>
  <si>
    <t>Ord-2024-10466</t>
  </si>
  <si>
    <t>Cust-1748</t>
  </si>
  <si>
    <t>Ord-2024-10467</t>
  </si>
  <si>
    <t>Cust-2725</t>
  </si>
  <si>
    <t>Ord-2024-10468</t>
  </si>
  <si>
    <t>Cust-9470</t>
  </si>
  <si>
    <t>Ord-2025-10469</t>
  </si>
  <si>
    <t>Cust-4176</t>
  </si>
  <si>
    <t>Ord-2024-10470</t>
  </si>
  <si>
    <t>Cust-3448</t>
  </si>
  <si>
    <t>Ord-2024-10471</t>
  </si>
  <si>
    <t>Cust-4970</t>
  </si>
  <si>
    <t>Ord-2024-10472</t>
  </si>
  <si>
    <t>Cust-6147</t>
  </si>
  <si>
    <t>Ord-2024-10473</t>
  </si>
  <si>
    <t>Cust-7208</t>
  </si>
  <si>
    <t>Ord-2024-10474</t>
  </si>
  <si>
    <t>Cust-2794</t>
  </si>
  <si>
    <t>Ord-2024-10475</t>
  </si>
  <si>
    <t>Cust-6249</t>
  </si>
  <si>
    <t>Ord-2025-10476</t>
  </si>
  <si>
    <t>Cust-5712</t>
  </si>
  <si>
    <t>Ord-2024-10477</t>
  </si>
  <si>
    <t>Cust-3004</t>
  </si>
  <si>
    <t>Ord-2025-10478</t>
  </si>
  <si>
    <t>Cust-6920</t>
  </si>
  <si>
    <t>Ord-2024-10479</t>
  </si>
  <si>
    <t>Cust-4838</t>
  </si>
  <si>
    <t>Ord-2024-10480</t>
  </si>
  <si>
    <t>Cust-7520</t>
  </si>
  <si>
    <t>Ord-2025-10481</t>
  </si>
  <si>
    <t>Cust-9947</t>
  </si>
  <si>
    <t>Ord-2025-10482</t>
  </si>
  <si>
    <t>Cust-4403</t>
  </si>
  <si>
    <t>Ord-2024-10483</t>
  </si>
  <si>
    <t>Cust-3583</t>
  </si>
  <si>
    <t>Ord-2024-10484</t>
  </si>
  <si>
    <t>Cust-9432</t>
  </si>
  <si>
    <t>Ord-2024-10485</t>
  </si>
  <si>
    <t>Cust-1801</t>
  </si>
  <si>
    <t>Ord-2025-10486</t>
  </si>
  <si>
    <t>Cust-1594</t>
  </si>
  <si>
    <t>Ord-2025-10487</t>
  </si>
  <si>
    <t>Cust-8132</t>
  </si>
  <si>
    <t>Ord-2025-10488</t>
  </si>
  <si>
    <t>Cust-7685</t>
  </si>
  <si>
    <t>Ord-2024-10489</t>
  </si>
  <si>
    <t>Cust-2183</t>
  </si>
  <si>
    <t>Ord-2024-10490</t>
  </si>
  <si>
    <t>Cust-1636</t>
  </si>
  <si>
    <t>Ord-2024-10491</t>
  </si>
  <si>
    <t>Cust-1350</t>
  </si>
  <si>
    <t>Ord-2025-10492</t>
  </si>
  <si>
    <t>Cust-4101</t>
  </si>
  <si>
    <t>Ord-2025-10493</t>
  </si>
  <si>
    <t>Cust-4679</t>
  </si>
  <si>
    <t>Ord-2025-10494</t>
  </si>
  <si>
    <t>Cust-3765</t>
  </si>
  <si>
    <t>Ord-2024-10495</t>
  </si>
  <si>
    <t>Cust-9056</t>
  </si>
  <si>
    <t>Ord-2024-10496</t>
  </si>
  <si>
    <t>Cust-9801</t>
  </si>
  <si>
    <t>Ord-2025-10497</t>
  </si>
  <si>
    <t>Cust-2038</t>
  </si>
  <si>
    <t>Ord-2024-10498</t>
  </si>
  <si>
    <t>Cust-1567</t>
  </si>
  <si>
    <t>Ord-2025-10499</t>
  </si>
  <si>
    <t>Cust-1190</t>
  </si>
  <si>
    <t>Ord-2024-10500</t>
  </si>
  <si>
    <t>Cust-5604</t>
  </si>
  <si>
    <t>Ord-2024-10501</t>
  </si>
  <si>
    <t>Cust-7661</t>
  </si>
  <si>
    <t>Ord-2024-10502</t>
  </si>
  <si>
    <t>Ord-2024-10503</t>
  </si>
  <si>
    <t>Cust-1534</t>
  </si>
  <si>
    <t>Ord-2024-10504</t>
  </si>
  <si>
    <t>Cust-7422</t>
  </si>
  <si>
    <t>Ord-2025-10505</t>
  </si>
  <si>
    <t>Cust-9693</t>
  </si>
  <si>
    <t>Ord-2024-10506</t>
  </si>
  <si>
    <t>Cust-5458</t>
  </si>
  <si>
    <t>Ord-2024-10507</t>
  </si>
  <si>
    <t>Cust-3011</t>
  </si>
  <si>
    <t>Ord-2025-10508</t>
  </si>
  <si>
    <t>Cust-1826</t>
  </si>
  <si>
    <t>Ord-2024-10509</t>
  </si>
  <si>
    <t>Cust-3333</t>
  </si>
  <si>
    <t>Ord-2025-10510</t>
  </si>
  <si>
    <t>Cust-7901</t>
  </si>
  <si>
    <t>Ord-2024-10511</t>
  </si>
  <si>
    <t>Cust-9759</t>
  </si>
  <si>
    <t>Ord-2024-10512</t>
  </si>
  <si>
    <t>Cust-7232</t>
  </si>
  <si>
    <t>Ord-2025-10513</t>
  </si>
  <si>
    <t>Ord-2025-10514</t>
  </si>
  <si>
    <t>Cust-8993</t>
  </si>
  <si>
    <t>Ord-2024-10515</t>
  </si>
  <si>
    <t>Cust-7729</t>
  </si>
  <si>
    <t>Ord-2025-10516</t>
  </si>
  <si>
    <t>Cust-9986</t>
  </si>
  <si>
    <t>Ord-2024-10517</t>
  </si>
  <si>
    <t>Cust-2731</t>
  </si>
  <si>
    <t>Ord-2025-10518</t>
  </si>
  <si>
    <t>Cust-4235</t>
  </si>
  <si>
    <t>Ord-2025-10519</t>
  </si>
  <si>
    <t>Cust-3377</t>
  </si>
  <si>
    <t>Ord-2025-10520</t>
  </si>
  <si>
    <t>Cust-3258</t>
  </si>
  <si>
    <t>Ord-2024-10521</t>
  </si>
  <si>
    <t>Cust-2155</t>
  </si>
  <si>
    <t>Ord-2025-10522</t>
  </si>
  <si>
    <t>Cust-8012</t>
  </si>
  <si>
    <t>Ord-2025-10523</t>
  </si>
  <si>
    <t>Cust-2917</t>
  </si>
  <si>
    <t>Ord-2024-10524</t>
  </si>
  <si>
    <t>Cust-4653</t>
  </si>
  <si>
    <t>Ord-2024-10525</t>
  </si>
  <si>
    <t>Cust-3311</t>
  </si>
  <si>
    <t>Ord-2024-10526</t>
  </si>
  <si>
    <t>Cust-2924</t>
  </si>
  <si>
    <t>Ord-2025-10527</t>
  </si>
  <si>
    <t>Cust-7198</t>
  </si>
  <si>
    <t>Ord-2025-10528</t>
  </si>
  <si>
    <t>Cust-3419</t>
  </si>
  <si>
    <t>Ord-2024-10529</t>
  </si>
  <si>
    <t>Cust-2390</t>
  </si>
  <si>
    <t>Ord-2024-10530</t>
  </si>
  <si>
    <t>Ord-2025-10531</t>
  </si>
  <si>
    <t>Cust-8177</t>
  </si>
  <si>
    <t>Ord-2024-10532</t>
  </si>
  <si>
    <t>Cust-6357</t>
  </si>
  <si>
    <t>Ord-2025-10533</t>
  </si>
  <si>
    <t>Cust-7690</t>
  </si>
  <si>
    <t>Ord-2024-10534</t>
  </si>
  <si>
    <t>Cust-4487</t>
  </si>
  <si>
    <t>Ord-2025-10535</t>
  </si>
  <si>
    <t>Cust-8204</t>
  </si>
  <si>
    <t>Ord-2024-10536</t>
  </si>
  <si>
    <t>Cust-1729</t>
  </si>
  <si>
    <t>Ord-2025-10537</t>
  </si>
  <si>
    <t>Cust-4269</t>
  </si>
  <si>
    <t>Ord-2024-10538</t>
  </si>
  <si>
    <t>Cust-1370</t>
  </si>
  <si>
    <t>Ord-2024-10539</t>
  </si>
  <si>
    <t>Cust-5381</t>
  </si>
  <si>
    <t>Ord-2025-10540</t>
  </si>
  <si>
    <t>Cust-3694</t>
  </si>
  <si>
    <t>Ord-2024-10541</t>
  </si>
  <si>
    <t>Cust-7563</t>
  </si>
  <si>
    <t>Ord-2025-10542</t>
  </si>
  <si>
    <t>Cust-4188</t>
  </si>
  <si>
    <t>Ord-2024-10543</t>
  </si>
  <si>
    <t>Cust-9376</t>
  </si>
  <si>
    <t>Ord-2024-10544</t>
  </si>
  <si>
    <t>Cust-9094</t>
  </si>
  <si>
    <t>Ord-2025-10545</t>
  </si>
  <si>
    <t>Cust-2366</t>
  </si>
  <si>
    <t>Ord-2024-10546</t>
  </si>
  <si>
    <t>Cust-7168</t>
  </si>
  <si>
    <t>Ord-2025-10547</t>
  </si>
  <si>
    <t>Cust-8157</t>
  </si>
  <si>
    <t>Ord-2024-10548</t>
  </si>
  <si>
    <t>Cust-9146</t>
  </si>
  <si>
    <t>Ord-2024-10549</t>
  </si>
  <si>
    <t>Cust-5129</t>
  </si>
  <si>
    <t>Ord-2025-10550</t>
  </si>
  <si>
    <t>Cust-6028</t>
  </si>
  <si>
    <t>Ord-2024-10551</t>
  </si>
  <si>
    <t>Cust-8687</t>
  </si>
  <si>
    <t>Ord-2024-10552</t>
  </si>
  <si>
    <t>Cust-8172</t>
  </si>
  <si>
    <t>Ord-2025-10553</t>
  </si>
  <si>
    <t>Cust-8861</t>
  </si>
  <si>
    <t>Ord-2025-10554</t>
  </si>
  <si>
    <t>Cust-9241</t>
  </si>
  <si>
    <t>Ord-2024-10555</t>
  </si>
  <si>
    <t>Cust-2126</t>
  </si>
  <si>
    <t>Ord-2025-10556</t>
  </si>
  <si>
    <t>Cust-7513</t>
  </si>
  <si>
    <t>Ord-2024-10557</t>
  </si>
  <si>
    <t>Cust-1992</t>
  </si>
  <si>
    <t>Ord-2024-10558</t>
  </si>
  <si>
    <t>Cust-8848</t>
  </si>
  <si>
    <t>Ord-2025-10559</t>
  </si>
  <si>
    <t>Cust-9368</t>
  </si>
  <si>
    <t>Ord-2025-10560</t>
  </si>
  <si>
    <t>Cust-6797</t>
  </si>
  <si>
    <t>Ord-2024-10561</t>
  </si>
  <si>
    <t>Cust-9333</t>
  </si>
  <si>
    <t>Ord-2025-10562</t>
  </si>
  <si>
    <t>Cust-6654</t>
  </si>
  <si>
    <t>Ord-2024-10563</t>
  </si>
  <si>
    <t>Cust-8622</t>
  </si>
  <si>
    <t>Ord-2024-10564</t>
  </si>
  <si>
    <t>Cust-8776</t>
  </si>
  <si>
    <t>Ord-2024-10565</t>
  </si>
  <si>
    <t>Cust-9100</t>
  </si>
  <si>
    <t>Ord-2025-10566</t>
  </si>
  <si>
    <t>Cust-5601</t>
  </si>
  <si>
    <t>Ord-2024-10567</t>
  </si>
  <si>
    <t>Cust-5246</t>
  </si>
  <si>
    <t>Ord-2024-10568</t>
  </si>
  <si>
    <t>Cust-3128</t>
  </si>
  <si>
    <t>Ord-2024-10569</t>
  </si>
  <si>
    <t>Cust-4604</t>
  </si>
  <si>
    <t>Ord-2025-10570</t>
  </si>
  <si>
    <t>Cust-2586</t>
  </si>
  <si>
    <t>Ord-2025-10571</t>
  </si>
  <si>
    <t>Cust-6585</t>
  </si>
  <si>
    <t>Ord-2025-10572</t>
  </si>
  <si>
    <t>Cust-3425</t>
  </si>
  <si>
    <t>Ord-2024-10573</t>
  </si>
  <si>
    <t>Cust-8633</t>
  </si>
  <si>
    <t>Ord-2025-10574</t>
  </si>
  <si>
    <t>Cust-8243</t>
  </si>
  <si>
    <t>Ord-2024-10575</t>
  </si>
  <si>
    <t>Ord-2025-10576</t>
  </si>
  <si>
    <t>Cust-5496</t>
  </si>
  <si>
    <t>Ord-2024-10577</t>
  </si>
  <si>
    <t>Cust-2228</t>
  </si>
  <si>
    <t>Ord-2025-10578</t>
  </si>
  <si>
    <t>Cust-4151</t>
  </si>
  <si>
    <t>Ord-2024-10579</t>
  </si>
  <si>
    <t>Ord-2024-10580</t>
  </si>
  <si>
    <t>Cust-9617</t>
  </si>
  <si>
    <t>Ord-2025-10581</t>
  </si>
  <si>
    <t>Cust-7958</t>
  </si>
  <si>
    <t>Ord-2025-10582</t>
  </si>
  <si>
    <t>Cust-9931</t>
  </si>
  <si>
    <t>Ord-2024-10583</t>
  </si>
  <si>
    <t>Cust-2088</t>
  </si>
  <si>
    <t>Ord-2024-10584</t>
  </si>
  <si>
    <t>Cust-1686</t>
  </si>
  <si>
    <t>Ord-2024-10585</t>
  </si>
  <si>
    <t>Cust-4894</t>
  </si>
  <si>
    <t>Ord-2025-10586</t>
  </si>
  <si>
    <t>Cust-5201</t>
  </si>
  <si>
    <t>Ord-2025-10587</t>
  </si>
  <si>
    <t>Cust-8626</t>
  </si>
  <si>
    <t>Ord-2025-10588</t>
  </si>
  <si>
    <t>Cust-1013</t>
  </si>
  <si>
    <t>Ord-2025-10589</t>
  </si>
  <si>
    <t>Cust-3601</t>
  </si>
  <si>
    <t>Ord-2024-10590</t>
  </si>
  <si>
    <t>Cust-7846</t>
  </si>
  <si>
    <t>Ord-2024-10591</t>
  </si>
  <si>
    <t>Cust-3433</t>
  </si>
  <si>
    <t>Ord-2024-10592</t>
  </si>
  <si>
    <t>Cust-2423</t>
  </si>
  <si>
    <t>Ord-2024-10593</t>
  </si>
  <si>
    <t>Cust-3559</t>
  </si>
  <si>
    <t>Ord-2025-10594</t>
  </si>
  <si>
    <t>Ord-2024-10595</t>
  </si>
  <si>
    <t>Cust-6850</t>
  </si>
  <si>
    <t>Ord-2025-10596</t>
  </si>
  <si>
    <t>Cust-5566</t>
  </si>
  <si>
    <t>Ord-2024-10597</t>
  </si>
  <si>
    <t>Cust-2593</t>
  </si>
  <si>
    <t>Ord-2025-10598</t>
  </si>
  <si>
    <t>Cust-6957</t>
  </si>
  <si>
    <t>Ord-2024-10599</t>
  </si>
  <si>
    <t>Cust-8498</t>
  </si>
  <si>
    <t>Ord-2024-10600</t>
  </si>
  <si>
    <t>Cust-2612</t>
  </si>
  <si>
    <t>Ord-2025-10601</t>
  </si>
  <si>
    <t>Cust-6013</t>
  </si>
  <si>
    <t>Ord-2024-10602</t>
  </si>
  <si>
    <t>Cust-8289</t>
  </si>
  <si>
    <t>Ord-2024-10603</t>
  </si>
  <si>
    <t>Cust-5668</t>
  </si>
  <si>
    <t>Ord-2025-10604</t>
  </si>
  <si>
    <t>Ord-2025-10605</t>
  </si>
  <si>
    <t>Cust-4526</t>
  </si>
  <si>
    <t>Ord-2025-10606</t>
  </si>
  <si>
    <t>Cust-4447</t>
  </si>
  <si>
    <t>Ord-2025-10607</t>
  </si>
  <si>
    <t>Cust-2698</t>
  </si>
  <si>
    <t>Ord-2025-10608</t>
  </si>
  <si>
    <t>Cust-6297</t>
  </si>
  <si>
    <t>Ord-2024-10609</t>
  </si>
  <si>
    <t>Ord-2025-10610</t>
  </si>
  <si>
    <t>Cust-4380</t>
  </si>
  <si>
    <t>Ord-2024-10611</t>
  </si>
  <si>
    <t>Ord-2025-10612</t>
  </si>
  <si>
    <t>Cust-6108</t>
  </si>
  <si>
    <t>Ord-2025-10613</t>
  </si>
  <si>
    <t>Cust-5663</t>
  </si>
  <si>
    <t>Ord-2024-10614</t>
  </si>
  <si>
    <t>Cust-9311</t>
  </si>
  <si>
    <t>Ord-2024-10615</t>
  </si>
  <si>
    <t>Cust-8154</t>
  </si>
  <si>
    <t>Ord-2024-10616</t>
  </si>
  <si>
    <t>Cust-4462</t>
  </si>
  <si>
    <t>Ord-2024-10617</t>
  </si>
  <si>
    <t>Cust-4660</t>
  </si>
  <si>
    <t>Ord-2024-10618</t>
  </si>
  <si>
    <t>Cust-9002</t>
  </si>
  <si>
    <t>Ord-2024-10619</t>
  </si>
  <si>
    <t>Cust-1057</t>
  </si>
  <si>
    <t>Ord-2024-10620</t>
  </si>
  <si>
    <t>Cust-9596</t>
  </si>
  <si>
    <t>Ord-2024-10621</t>
  </si>
  <si>
    <t>Cust-6947</t>
  </si>
  <si>
    <t>Ord-2024-10622</t>
  </si>
  <si>
    <t>Cust-7236</t>
  </si>
  <si>
    <t>Ord-2025-10623</t>
  </si>
  <si>
    <t>Cust-1127</t>
  </si>
  <si>
    <t>Ord-2024-10624</t>
  </si>
  <si>
    <t>Cust-6262</t>
  </si>
  <si>
    <t>Ord-2024-10625</t>
  </si>
  <si>
    <t>Cust-5070</t>
  </si>
  <si>
    <t>Ord-2024-10626</t>
  </si>
  <si>
    <t>Cust-7946</t>
  </si>
  <si>
    <t>Ord-2025-10627</t>
  </si>
  <si>
    <t>Cust-1793</t>
  </si>
  <si>
    <t>Ord-2025-10628</t>
  </si>
  <si>
    <t>Cust-8839</t>
  </si>
  <si>
    <t>Ord-2025-10629</t>
  </si>
  <si>
    <t>Cust-6725</t>
  </si>
  <si>
    <t>Ord-2025-10630</t>
  </si>
  <si>
    <t>Cust-3793</t>
  </si>
  <si>
    <t>Ord-2024-10631</t>
  </si>
  <si>
    <t>Cust-6075</t>
  </si>
  <si>
    <t>Ord-2024-10632</t>
  </si>
  <si>
    <t>Cust-6381</t>
  </si>
  <si>
    <t>Ord-2025-10633</t>
  </si>
  <si>
    <t>Cust-4593</t>
  </si>
  <si>
    <t>Ord-2025-10634</t>
  </si>
  <si>
    <t>Cust-5043</t>
  </si>
  <si>
    <t>Ord-2025-10635</t>
  </si>
  <si>
    <t>Cust-4722</t>
  </si>
  <si>
    <t>Ord-2024-10636</t>
  </si>
  <si>
    <t>Cust-7931</t>
  </si>
  <si>
    <t>Ord-2024-10637</t>
  </si>
  <si>
    <t>Cust-7221</t>
  </si>
  <si>
    <t>Ord-2024-10638</t>
  </si>
  <si>
    <t>Cust-2594</t>
  </si>
  <si>
    <t>Ord-2024-10639</t>
  </si>
  <si>
    <t>Cust-2111</t>
  </si>
  <si>
    <t>Ord-2024-10640</t>
  </si>
  <si>
    <t>Cust-6829</t>
  </si>
  <si>
    <t>Ord-2025-10641</t>
  </si>
  <si>
    <t>Cust-5061</t>
  </si>
  <si>
    <t>Ord-2025-10642</t>
  </si>
  <si>
    <t>Cust-7915</t>
  </si>
  <si>
    <t>Ord-2024-10643</t>
  </si>
  <si>
    <t>Cust-1940</t>
  </si>
  <si>
    <t>Ord-2024-10644</t>
  </si>
  <si>
    <t>Ord-2025-10645</t>
  </si>
  <si>
    <t>Cust-5549</t>
  </si>
  <si>
    <t>Ord-2024-10646</t>
  </si>
  <si>
    <t>Cust-2314</t>
  </si>
  <si>
    <t>Ord-2024-10647</t>
  </si>
  <si>
    <t>Cust-6360</t>
  </si>
  <si>
    <t>Ord-2025-10648</t>
  </si>
  <si>
    <t>Cust-9942</t>
  </si>
  <si>
    <t>Ord-2024-10649</t>
  </si>
  <si>
    <t>Cust-1808</t>
  </si>
  <si>
    <t>Ord-2025-10650</t>
  </si>
  <si>
    <t>Cust-7277</t>
  </si>
  <si>
    <t>Ord-2024-10651</t>
  </si>
  <si>
    <t>Ord-2025-10652</t>
  </si>
  <si>
    <t>Cust-2660</t>
  </si>
  <si>
    <t>Ord-2025-10653</t>
  </si>
  <si>
    <t>Ord-2025-10654</t>
  </si>
  <si>
    <t>Cust-3970</t>
  </si>
  <si>
    <t>Ord-2025-10655</t>
  </si>
  <si>
    <t>Ord-2025-10656</t>
  </si>
  <si>
    <t>Cust-8039</t>
  </si>
  <si>
    <t>Ord-2024-10657</t>
  </si>
  <si>
    <t>Cust-4446</t>
  </si>
  <si>
    <t>Ord-2025-10658</t>
  </si>
  <si>
    <t>Cust-7787</t>
  </si>
  <si>
    <t>Ord-2025-10659</t>
  </si>
  <si>
    <t>Cust-9074</t>
  </si>
  <si>
    <t>Ord-2025-10660</t>
  </si>
  <si>
    <t>Cust-8330</t>
  </si>
  <si>
    <t>Ord-2025-10661</t>
  </si>
  <si>
    <t>Cust-5638</t>
  </si>
  <si>
    <t>Ord-2024-10662</t>
  </si>
  <si>
    <t>Cust-4537</t>
  </si>
  <si>
    <t>Ord-2024-10663</t>
  </si>
  <si>
    <t>Cust-3181</t>
  </si>
  <si>
    <t>Ord-2024-10664</t>
  </si>
  <si>
    <t>Cust-1015</t>
  </si>
  <si>
    <t>Ord-2024-10665</t>
  </si>
  <si>
    <t>Cust-2709</t>
  </si>
  <si>
    <t>Ord-2025-10666</t>
  </si>
  <si>
    <t>Cust-1197</t>
  </si>
  <si>
    <t>Ord-2024-10667</t>
  </si>
  <si>
    <t>Cust-7758</t>
  </si>
  <si>
    <t>Ord-2025-10668</t>
  </si>
  <si>
    <t>Cust-3912</t>
  </si>
  <si>
    <t>Ord-2024-10669</t>
  </si>
  <si>
    <t>Cust-4190</t>
  </si>
  <si>
    <t>Ord-2024-10670</t>
  </si>
  <si>
    <t>Cust-7568</t>
  </si>
  <si>
    <t>Ord-2025-10671</t>
  </si>
  <si>
    <t>Ord-2024-10672</t>
  </si>
  <si>
    <t>Cust-3293</t>
  </si>
  <si>
    <t>Ord-2024-10673</t>
  </si>
  <si>
    <t>Cust-8180</t>
  </si>
  <si>
    <t>Ord-2025-10674</t>
  </si>
  <si>
    <t>Cust-2807</t>
  </si>
  <si>
    <t>Ord-2024-10675</t>
  </si>
  <si>
    <t>Cust-4081</t>
  </si>
  <si>
    <t>Ord-2025-10676</t>
  </si>
  <si>
    <t>Ord-2025-10677</t>
  </si>
  <si>
    <t>Cust-9212</t>
  </si>
  <si>
    <t>Ord-2024-10678</t>
  </si>
  <si>
    <t>Ord-2024-10679</t>
  </si>
  <si>
    <t>Cust-1674</t>
  </si>
  <si>
    <t>Ord-2025-10680</t>
  </si>
  <si>
    <t>Cust-2897</t>
  </si>
  <si>
    <t>Ord-2024-10681</t>
  </si>
  <si>
    <t>Cust-1136</t>
  </si>
  <si>
    <t>Ord-2024-10682</t>
  </si>
  <si>
    <t>Cust-1376</t>
  </si>
  <si>
    <t>Ord-2025-10683</t>
  </si>
  <si>
    <t>Cust-1553</t>
  </si>
  <si>
    <t>Ord-2025-10684</t>
  </si>
  <si>
    <t>Cust-5704</t>
  </si>
  <si>
    <t>Ord-2025-10685</t>
  </si>
  <si>
    <t>Cust-6738</t>
  </si>
  <si>
    <t>Ord-2025-10686</t>
  </si>
  <si>
    <t>Ord-2024-10687</t>
  </si>
  <si>
    <t>Cust-3127</t>
  </si>
  <si>
    <t>Ord-2025-10688</t>
  </si>
  <si>
    <t>Cust-9347</t>
  </si>
  <si>
    <t>Ord-2025-10689</t>
  </si>
  <si>
    <t>Cust-8575</t>
  </si>
  <si>
    <t>Ord-2024-10690</t>
  </si>
  <si>
    <t>Cust-4382</t>
  </si>
  <si>
    <t>Ord-2024-10691</t>
  </si>
  <si>
    <t>Cust-6815</t>
  </si>
  <si>
    <t>Ord-2024-10692</t>
  </si>
  <si>
    <t>Cust-7309</t>
  </si>
  <si>
    <t>Ord-2025-10693</t>
  </si>
  <si>
    <t>Cust-9531</t>
  </si>
  <si>
    <t>Ord-2025-10694</t>
  </si>
  <si>
    <t>Cust-6032</t>
  </si>
  <si>
    <t>Ord-2025-10695</t>
  </si>
  <si>
    <t>Ord-2024-10696</t>
  </si>
  <si>
    <t>Cust-6257</t>
  </si>
  <si>
    <t>Ord-2025-10697</t>
  </si>
  <si>
    <t>Cust-7812</t>
  </si>
  <si>
    <t>Ord-2025-10698</t>
  </si>
  <si>
    <t>Cust-6205</t>
  </si>
  <si>
    <t>Ord-2024-10699</t>
  </si>
  <si>
    <t>Cust-5357</t>
  </si>
  <si>
    <t>Ord-2024-10700</t>
  </si>
  <si>
    <t>Cust-9802</t>
  </si>
  <si>
    <t>Ord-2024-10701</t>
  </si>
  <si>
    <t>Cust-5646</t>
  </si>
  <si>
    <t>Ord-2024-10702</t>
  </si>
  <si>
    <t>Cust-7171</t>
  </si>
  <si>
    <t>Ord-2025-10703</t>
  </si>
  <si>
    <t>Cust-5231</t>
  </si>
  <si>
    <t>Ord-2024-10704</t>
  </si>
  <si>
    <t>Cust-8734</t>
  </si>
  <si>
    <t>Ord-2024-10705</t>
  </si>
  <si>
    <t>Cust-4916</t>
  </si>
  <si>
    <t>Ord-2024-10706</t>
  </si>
  <si>
    <t>Cust-3289</t>
  </si>
  <si>
    <t>Ord-2024-10707</t>
  </si>
  <si>
    <t>Cust-4928</t>
  </si>
  <si>
    <t>Ord-2025-10708</t>
  </si>
  <si>
    <t>Cust-4902</t>
  </si>
  <si>
    <t>Ord-2025-10709</t>
  </si>
  <si>
    <t>Cust-6504</t>
  </si>
  <si>
    <t>Ord-2025-10710</t>
  </si>
  <si>
    <t>Cust-8036</t>
  </si>
  <si>
    <t>Ord-2024-10711</t>
  </si>
  <si>
    <t>Cust-7199</t>
  </si>
  <si>
    <t>Ord-2025-10712</t>
  </si>
  <si>
    <t>Cust-6176</t>
  </si>
  <si>
    <t>Ord-2024-10713</t>
  </si>
  <si>
    <t>Cust-5127</t>
  </si>
  <si>
    <t>Ord-2025-10714</t>
  </si>
  <si>
    <t>Ord-2025-10715</t>
  </si>
  <si>
    <t>Cust-9902</t>
  </si>
  <si>
    <t>Ord-2025-10716</t>
  </si>
  <si>
    <t>Cust-7446</t>
  </si>
  <si>
    <t>Ord-2025-10717</t>
  </si>
  <si>
    <t>Cust-7540</t>
  </si>
  <si>
    <t>Ord-2025-10718</t>
  </si>
  <si>
    <t>Cust-8351</t>
  </si>
  <si>
    <t>Ord-2024-10719</t>
  </si>
  <si>
    <t>Cust-3918</t>
  </si>
  <si>
    <t>Ord-2025-10720</t>
  </si>
  <si>
    <t>Ord-2024-10721</t>
  </si>
  <si>
    <t>Cust-1991</t>
  </si>
  <si>
    <t>Ord-2025-10722</t>
  </si>
  <si>
    <t>Cust-7606</t>
  </si>
  <si>
    <t>Ord-2024-10723</t>
  </si>
  <si>
    <t>Cust-8844</t>
  </si>
  <si>
    <t>Ord-2025-10724</t>
  </si>
  <si>
    <t>Cust-4335</t>
  </si>
  <si>
    <t>Ord-2024-10725</t>
  </si>
  <si>
    <t>Cust-5891</t>
  </si>
  <si>
    <t>Ord-2025-10726</t>
  </si>
  <si>
    <t>Cust-6371</t>
  </si>
  <si>
    <t>Ord-2024-10727</t>
  </si>
  <si>
    <t>Cust-6655</t>
  </si>
  <si>
    <t>Ord-2024-10728</t>
  </si>
  <si>
    <t>Cust-6492</t>
  </si>
  <si>
    <t>Ord-2024-10729</t>
  </si>
  <si>
    <t>Cust-1154</t>
  </si>
  <si>
    <t>Ord-2025-10730</t>
  </si>
  <si>
    <t>Cust-8713</t>
  </si>
  <si>
    <t>Ord-2025-10731</t>
  </si>
  <si>
    <t>Cust-6765</t>
  </si>
  <si>
    <t>Ord-2024-10732</t>
  </si>
  <si>
    <t>Cust-6849</t>
  </si>
  <si>
    <t>Ord-2024-10733</t>
  </si>
  <si>
    <t>Cust-4973</t>
  </si>
  <si>
    <t>Ord-2024-10734</t>
  </si>
  <si>
    <t>Cust-2394</t>
  </si>
  <si>
    <t>Ord-2024-10735</t>
  </si>
  <si>
    <t>Cust-5406</t>
  </si>
  <si>
    <t>Ord-2024-10736</t>
  </si>
  <si>
    <t>Cust-1963</t>
  </si>
  <si>
    <t>Ord-2024-10737</t>
  </si>
  <si>
    <t>Cust-9017</t>
  </si>
  <si>
    <t>Ord-2024-10738</t>
  </si>
  <si>
    <t>Cust-7967</t>
  </si>
  <si>
    <t>Ord-2025-10739</t>
  </si>
  <si>
    <t>Cust-5334</t>
  </si>
  <si>
    <t>Ord-2024-10740</t>
  </si>
  <si>
    <t>Cust-5846</t>
  </si>
  <si>
    <t>Ord-2024-10741</t>
  </si>
  <si>
    <t>Ord-2025-10742</t>
  </si>
  <si>
    <t>Cust-3285</t>
  </si>
  <si>
    <t>Ord-2024-10743</t>
  </si>
  <si>
    <t>Cust-6368</t>
  </si>
  <si>
    <t>Ord-2025-10744</t>
  </si>
  <si>
    <t>Cust-6231</t>
  </si>
  <si>
    <t>Ord-2025-10745</t>
  </si>
  <si>
    <t>Cust-2021</t>
  </si>
  <si>
    <t>Ord-2024-10746</t>
  </si>
  <si>
    <t>Cust-1493</t>
  </si>
  <si>
    <t>Ord-2025-10747</t>
  </si>
  <si>
    <t>Ord-2024-10748</t>
  </si>
  <si>
    <t>Cust-8416</t>
  </si>
  <si>
    <t>Ord-2024-10749</t>
  </si>
  <si>
    <t>Cust-3103</t>
  </si>
  <si>
    <t>Ord-2024-10750</t>
  </si>
  <si>
    <t>Cust-4457</t>
  </si>
  <si>
    <t>Ord-2025-10751</t>
  </si>
  <si>
    <t>Cust-7036</t>
  </si>
  <si>
    <t>Ord-2025-10752</t>
  </si>
  <si>
    <t>Cust-8512</t>
  </si>
  <si>
    <t>Ord-2024-10753</t>
  </si>
  <si>
    <t>Cust-6345</t>
  </si>
  <si>
    <t>Ord-2024-10754</t>
  </si>
  <si>
    <t>Cust-4505</t>
  </si>
  <si>
    <t>Ord-2025-10755</t>
  </si>
  <si>
    <t>Cust-7960</t>
  </si>
  <si>
    <t>Ord-2025-10756</t>
  </si>
  <si>
    <t>Cust-3365</t>
  </si>
  <si>
    <t>Ord-2024-10757</t>
  </si>
  <si>
    <t>Cust-1557</t>
  </si>
  <si>
    <t>Ord-2025-10758</t>
  </si>
  <si>
    <t>Cust-3058</t>
  </si>
  <si>
    <t>Ord-2024-10759</t>
  </si>
  <si>
    <t>Cust-6076</t>
  </si>
  <si>
    <t>Ord-2024-10760</t>
  </si>
  <si>
    <t>Cust-2098</t>
  </si>
  <si>
    <t>Ord-2024-10761</t>
  </si>
  <si>
    <t>Cust-7193</t>
  </si>
  <si>
    <t>Ord-2025-10762</t>
  </si>
  <si>
    <t>Cust-8948</t>
  </si>
  <si>
    <t>Ord-2024-10763</t>
  </si>
  <si>
    <t>Cust-6921</t>
  </si>
  <si>
    <t>Ord-2025-10764</t>
  </si>
  <si>
    <t>Cust-4086</t>
  </si>
  <si>
    <t>Ord-2025-10765</t>
  </si>
  <si>
    <t>Ord-2025-10766</t>
  </si>
  <si>
    <t>Cust-8747</t>
  </si>
  <si>
    <t>Ord-2024-10767</t>
  </si>
  <si>
    <t>Cust-3156</t>
  </si>
  <si>
    <t>Ord-2024-10768</t>
  </si>
  <si>
    <t>Cust-2043</t>
  </si>
  <si>
    <t>Ord-2025-10769</t>
  </si>
  <si>
    <t>Cust-8808</t>
  </si>
  <si>
    <t>Ord-2024-10770</t>
  </si>
  <si>
    <t>Cust-1293</t>
  </si>
  <si>
    <t>Ord-2024-10771</t>
  </si>
  <si>
    <t>Cust-8384</t>
  </si>
  <si>
    <t>Ord-2024-10772</t>
  </si>
  <si>
    <t>Ord-2025-10773</t>
  </si>
  <si>
    <t>Cust-8422</t>
  </si>
  <si>
    <t>Ord-2025-10774</t>
  </si>
  <si>
    <t>Cust-4766</t>
  </si>
  <si>
    <t>Ord-2025-10775</t>
  </si>
  <si>
    <t>Cust-1182</t>
  </si>
  <si>
    <t>Ord-2024-10776</t>
  </si>
  <si>
    <t>Cust-4461</t>
  </si>
  <si>
    <t>Ord-2025-10777</t>
  </si>
  <si>
    <t>Cust-9690</t>
  </si>
  <si>
    <t>Ord-2024-10778</t>
  </si>
  <si>
    <t>Cust-6879</t>
  </si>
  <si>
    <t>Ord-2024-10779</t>
  </si>
  <si>
    <t>Cust-4714</t>
  </si>
  <si>
    <t>Ord-2024-10780</t>
  </si>
  <si>
    <t>Cust-7547</t>
  </si>
  <si>
    <t>Ord-2024-10781</t>
  </si>
  <si>
    <t>Cust-3288</t>
  </si>
  <si>
    <t>Ord-2024-10782</t>
  </si>
  <si>
    <t>Cust-8597</t>
  </si>
  <si>
    <t>Ord-2025-10783</t>
  </si>
  <si>
    <t>Cust-9085</t>
  </si>
  <si>
    <t>Ord-2024-10784</t>
  </si>
  <si>
    <t>Cust-7746</t>
  </si>
  <si>
    <t>Ord-2025-10785</t>
  </si>
  <si>
    <t>Cust-3119</t>
  </si>
  <si>
    <t>Ord-2024-10786</t>
  </si>
  <si>
    <t>Cust-7518</t>
  </si>
  <si>
    <t>Ord-2025-10787</t>
  </si>
  <si>
    <t>Cust-1343</t>
  </si>
  <si>
    <t>Ord-2024-10788</t>
  </si>
  <si>
    <t>Cust-7548</t>
  </si>
  <si>
    <t>Ord-2024-10789</t>
  </si>
  <si>
    <t>Cust-3631</t>
  </si>
  <si>
    <t>Ord-2025-10790</t>
  </si>
  <si>
    <t>Cust-1453</t>
  </si>
  <si>
    <t>Ord-2024-10791</t>
  </si>
  <si>
    <t>Cust-1951</t>
  </si>
  <si>
    <t>Ord-2024-10792</t>
  </si>
  <si>
    <t>Cust-6300</t>
  </si>
  <si>
    <t>Ord-2025-10793</t>
  </si>
  <si>
    <t>Cust-1417</t>
  </si>
  <si>
    <t>Ord-2024-10794</t>
  </si>
  <si>
    <t>Cust-5421</t>
  </si>
  <si>
    <t>Ord-2025-10795</t>
  </si>
  <si>
    <t>Cust-2829</t>
  </si>
  <si>
    <t>Ord-2024-10796</t>
  </si>
  <si>
    <t>Cust-6529</t>
  </si>
  <si>
    <t>Ord-2024-10797</t>
  </si>
  <si>
    <t>Cust-3126</t>
  </si>
  <si>
    <t>Ord-2024-10798</t>
  </si>
  <si>
    <t>Cust-3991</t>
  </si>
  <si>
    <t>Ord-2025-10799</t>
  </si>
  <si>
    <t>Cust-7553</t>
  </si>
  <si>
    <t>Ord-2024-10800</t>
  </si>
  <si>
    <t>Cust-8527</t>
  </si>
  <si>
    <t>Ord-2024-10801</t>
  </si>
  <si>
    <t>Cust-5015</t>
  </si>
  <si>
    <t>Ord-2025-10802</t>
  </si>
  <si>
    <t>Cust-3344</t>
  </si>
  <si>
    <t>Ord-2025-10803</t>
  </si>
  <si>
    <t>Cust-5866</t>
  </si>
  <si>
    <t>Ord-2024-10804</t>
  </si>
  <si>
    <t>Cust-7180</t>
  </si>
  <si>
    <t>Ord-2025-10805</t>
  </si>
  <si>
    <t>Cust-8745</t>
  </si>
  <si>
    <t>Ord-2025-10806</t>
  </si>
  <si>
    <t>Ord-2024-10807</t>
  </si>
  <si>
    <t>Cust-3704</t>
  </si>
  <si>
    <t>Ord-2025-10808</t>
  </si>
  <si>
    <t>Cust-5884</t>
  </si>
  <si>
    <t>Ord-2025-10809</t>
  </si>
  <si>
    <t>Cust-7503</t>
  </si>
  <si>
    <t>Ord-2025-10810</t>
  </si>
  <si>
    <t>Cust-6973</t>
  </si>
  <si>
    <t>Ord-2024-10811</t>
  </si>
  <si>
    <t>Ord-2024-10812</t>
  </si>
  <si>
    <t>Cust-3303</t>
  </si>
  <si>
    <t>Ord-2024-10813</t>
  </si>
  <si>
    <t>Cust-5754</t>
  </si>
  <si>
    <t>Ord-2025-10814</t>
  </si>
  <si>
    <t>Cust-7848</t>
  </si>
  <si>
    <t>Ord-2025-10815</t>
  </si>
  <si>
    <t>Cust-9048</t>
  </si>
  <si>
    <t>Ord-2024-10816</t>
  </si>
  <si>
    <t>Cust-2951</t>
  </si>
  <si>
    <t>Ord-2024-10817</t>
  </si>
  <si>
    <t>Cust-3072</t>
  </si>
  <si>
    <t>Ord-2025-10818</t>
  </si>
  <si>
    <t>Cust-2221</t>
  </si>
  <si>
    <t>Ord-2024-10819</t>
  </si>
  <si>
    <t>Cust-3943</t>
  </si>
  <si>
    <t>Ord-2024-10820</t>
  </si>
  <si>
    <t>Cust-7510</t>
  </si>
  <si>
    <t>Ord-2025-10821</t>
  </si>
  <si>
    <t>Cust-2041</t>
  </si>
  <si>
    <t>Ord-2024-10822</t>
  </si>
  <si>
    <t>Cust-4466</t>
  </si>
  <si>
    <t>Ord-2024-10823</t>
  </si>
  <si>
    <t>Cust-3188</t>
  </si>
  <si>
    <t>Ord-2025-10824</t>
  </si>
  <si>
    <t>Cust-6638</t>
  </si>
  <si>
    <t>Ord-2025-10825</t>
  </si>
  <si>
    <t>Cust-3540</t>
  </si>
  <si>
    <t>Ord-2025-10826</t>
  </si>
  <si>
    <t>Cust-3351</t>
  </si>
  <si>
    <t>Ord-2025-10827</t>
  </si>
  <si>
    <t>Cust-4375</t>
  </si>
  <si>
    <t>Ord-2024-10828</t>
  </si>
  <si>
    <t>Cust-5125</t>
  </si>
  <si>
    <t>Ord-2025-10829</t>
  </si>
  <si>
    <t>Cust-6010</t>
  </si>
  <si>
    <t>Ord-2024-10830</t>
  </si>
  <si>
    <t>Cust-9036</t>
  </si>
  <si>
    <t>Ord-2025-10831</t>
  </si>
  <si>
    <t>Cust-7929</t>
  </si>
  <si>
    <t>Ord-2025-10832</t>
  </si>
  <si>
    <t>Cust-1106</t>
  </si>
  <si>
    <t>Ord-2025-10833</t>
  </si>
  <si>
    <t>Cust-9557</t>
  </si>
  <si>
    <t>Ord-2024-10834</t>
  </si>
  <si>
    <t>Cust-2689</t>
  </si>
  <si>
    <t>Ord-2024-10835</t>
  </si>
  <si>
    <t>Cust-2879</t>
  </si>
  <si>
    <t>Ord-2025-10836</t>
  </si>
  <si>
    <t>Cust-5150</t>
  </si>
  <si>
    <t>Ord-2024-10837</t>
  </si>
  <si>
    <t>Cust-9776</t>
  </si>
  <si>
    <t>Ord-2025-10838</t>
  </si>
  <si>
    <t>Cust-2551</t>
  </si>
  <si>
    <t>Ord-2025-10839</t>
  </si>
  <si>
    <t>Cust-4708</t>
  </si>
  <si>
    <t>Ord-2024-10840</t>
  </si>
  <si>
    <t>Cust-8206</t>
  </si>
  <si>
    <t>Ord-2025-10841</t>
  </si>
  <si>
    <t>Cust-1297</t>
  </si>
  <si>
    <t>Ord-2025-10842</t>
  </si>
  <si>
    <t>Cust-7558</t>
  </si>
  <si>
    <t>Ord-2024-10843</t>
  </si>
  <si>
    <t>Cust-1798</t>
  </si>
  <si>
    <t>Ord-2025-10844</t>
  </si>
  <si>
    <t>Cust-7333</t>
  </si>
  <si>
    <t>Ord-2025-10845</t>
  </si>
  <si>
    <t>Cust-2086</t>
  </si>
  <si>
    <t>Ord-2024-10846</t>
  </si>
  <si>
    <t>Ord-2024-10847</t>
  </si>
  <si>
    <t>Cust-6522</t>
  </si>
  <si>
    <t>Ord-2025-10848</t>
  </si>
  <si>
    <t>Cust-8329</t>
  </si>
  <si>
    <t>Ord-2025-10849</t>
  </si>
  <si>
    <t>Cust-4426</t>
  </si>
  <si>
    <t>Ord-2024-10850</t>
  </si>
  <si>
    <t>Cust-3360</t>
  </si>
  <si>
    <t>Ord-2024-10851</t>
  </si>
  <si>
    <t>Cust-2623</t>
  </si>
  <si>
    <t>Ord-2024-10852</t>
  </si>
  <si>
    <t>Cust-3175</t>
  </si>
  <si>
    <t>Ord-2024-10853</t>
  </si>
  <si>
    <t>Cust-9630</t>
  </si>
  <si>
    <t>Ord-2025-10854</t>
  </si>
  <si>
    <t>Cust-8274</t>
  </si>
  <si>
    <t>Ord-2025-10855</t>
  </si>
  <si>
    <t>Cust-2514</t>
  </si>
  <si>
    <t>Ord-2024-10856</t>
  </si>
  <si>
    <t>Ord-2024-10857</t>
  </si>
  <si>
    <t>Ord-2024-10858</t>
  </si>
  <si>
    <t>Ord-2024-10859</t>
  </si>
  <si>
    <t>Cust-9576</t>
  </si>
  <si>
    <t>Ord-2024-10860</t>
  </si>
  <si>
    <t>Cust-2395</t>
  </si>
  <si>
    <t>Ord-2024-10861</t>
  </si>
  <si>
    <t>Cust-8941</t>
  </si>
  <si>
    <t>Ord-2025-10862</t>
  </si>
  <si>
    <t>Cust-9448</t>
  </si>
  <si>
    <t>Ord-2025-10863</t>
  </si>
  <si>
    <t>Cust-8354</t>
  </si>
  <si>
    <t>Ord-2025-10864</t>
  </si>
  <si>
    <t>Cust-2200</t>
  </si>
  <si>
    <t>Ord-2025-10865</t>
  </si>
  <si>
    <t>Cust-1178</t>
  </si>
  <si>
    <t>Ord-2025-10866</t>
  </si>
  <si>
    <t>Cust-8099</t>
  </si>
  <si>
    <t>Ord-2025-10867</t>
  </si>
  <si>
    <t>Cust-7596</t>
  </si>
  <si>
    <t>Ord-2024-10868</t>
  </si>
  <si>
    <t>Cust-2328</t>
  </si>
  <si>
    <t>Ord-2025-10869</t>
  </si>
  <si>
    <t>Cust-8483</t>
  </si>
  <si>
    <t>Ord-2025-10870</t>
  </si>
  <si>
    <t>Cust-2388</t>
  </si>
  <si>
    <t>Ord-2025-10871</t>
  </si>
  <si>
    <t>Cust-7054</t>
  </si>
  <si>
    <t>Ord-2024-10872</t>
  </si>
  <si>
    <t>Ord-2024-10873</t>
  </si>
  <si>
    <t>Ord-2025-10874</t>
  </si>
  <si>
    <t>Cust-8160</t>
  </si>
  <si>
    <t>Ord-2025-10875</t>
  </si>
  <si>
    <t>Cust-8770</t>
  </si>
  <si>
    <t>Ord-2024-10876</t>
  </si>
  <si>
    <t>Cust-6928</t>
  </si>
  <si>
    <t>Ord-2024-10877</t>
  </si>
  <si>
    <t>Cust-9044</t>
  </si>
  <si>
    <t>Ord-2025-10878</t>
  </si>
  <si>
    <t>Cust-7146</t>
  </si>
  <si>
    <t>Ord-2024-10879</t>
  </si>
  <si>
    <t>Cust-8534</t>
  </si>
  <si>
    <t>Ord-2025-10880</t>
  </si>
  <si>
    <t>Cust-4486</t>
  </si>
  <si>
    <t>Ord-2024-10881</t>
  </si>
  <si>
    <t>Cust-5287</t>
  </si>
  <si>
    <t>Ord-2024-10882</t>
  </si>
  <si>
    <t>Cust-3445</t>
  </si>
  <si>
    <t>Ord-2025-10883</t>
  </si>
  <si>
    <t>Cust-4983</t>
  </si>
  <si>
    <t>Ord-2025-10884</t>
  </si>
  <si>
    <t>Cust-2597</t>
  </si>
  <si>
    <t>Ord-2025-10885</t>
  </si>
  <si>
    <t>Cust-7505</t>
  </si>
  <si>
    <t>Ord-2024-10886</t>
  </si>
  <si>
    <t>Cust-3446</t>
  </si>
  <si>
    <t>Ord-2025-10887</t>
  </si>
  <si>
    <t>Cust-3549</t>
  </si>
  <si>
    <t>Ord-2024-10888</t>
  </si>
  <si>
    <t>Cust-2795</t>
  </si>
  <si>
    <t>Ord-2025-10889</t>
  </si>
  <si>
    <t>Cust-1081</t>
  </si>
  <si>
    <t>Ord-2025-10890</t>
  </si>
  <si>
    <t>Ord-2024-10891</t>
  </si>
  <si>
    <t>Cust-3992</t>
  </si>
  <si>
    <t>Ord-2024-10892</t>
  </si>
  <si>
    <t>Cust-6647</t>
  </si>
  <si>
    <t>Ord-2025-10893</t>
  </si>
  <si>
    <t>Cust-5087</t>
  </si>
  <si>
    <t>Ord-2024-10894</t>
  </si>
  <si>
    <t>Cust-9297</t>
  </si>
  <si>
    <t>Ord-2024-10895</t>
  </si>
  <si>
    <t>Cust-7996</t>
  </si>
  <si>
    <t>Ord-2024-10896</t>
  </si>
  <si>
    <t>Cust-4117</t>
  </si>
  <si>
    <t>Ord-2024-10897</t>
  </si>
  <si>
    <t>Cust-4848</t>
  </si>
  <si>
    <t>Ord-2025-10898</t>
  </si>
  <si>
    <t>Ord-2024-10899</t>
  </si>
  <si>
    <t>Cust-6046</t>
  </si>
  <si>
    <t>Ord-2025-10900</t>
  </si>
  <si>
    <t>Cust-3789</t>
  </si>
  <si>
    <t>calculated_sales</t>
  </si>
  <si>
    <t>Calcualted Profit</t>
  </si>
  <si>
    <t>Row Labels</t>
  </si>
  <si>
    <t>(blank)</t>
  </si>
  <si>
    <t>Grand Total</t>
  </si>
  <si>
    <t>Sum of Sales</t>
  </si>
  <si>
    <t>Sum of Profit</t>
  </si>
  <si>
    <t>Count of Order_Id</t>
  </si>
  <si>
    <t>Average of Profit</t>
  </si>
  <si>
    <t>Column Labels</t>
  </si>
  <si>
    <t>&lt;1/1/2024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</si>
  <si>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</si>
  <si>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</si>
  <si>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</si>
  <si>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</si>
  <si>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</si>
  <si>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</si>
  <si>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</si>
  <si>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</si>
  <si>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</si>
  <si>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</si>
  <si>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</si>
  <si>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</si>
  <si>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Data Quality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</si>
</sst>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rgb="FFFF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wrapText="1"/>
    </xf>
    <xf numFmtId="2" fontId="2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3" fillId="0" borderId="0" xfId="0" applyFont="1"/>
    <xf numFmtId="0" fontId="0" fillId="3" borderId="0" xfId="0" applyFill="1"/>
    <xf numFmtId="0" fontId="0" fillId="0" borderId="0" xfId="1" applyNumberFormat="1" applyFont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shi" refreshedDate="46200.879714351853" createdVersion="8" refreshedVersion="8" minRefreshableVersion="3" recordCount="932" xr:uid="{A732B84F-B8B3-4130-A80F-FB04CEE72DF5}">
  <cacheSource type="worksheet">
    <worksheetSource ref="A2:AF933" sheet="Cleaned Data"/>
  </cacheSource>
  <cacheFields count="35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 count="508">
        <d v="2024-07-21T00:00:00"/>
        <d v="2024-08-31T00:00:00"/>
        <d v="2024-08-06T00:00:00"/>
        <d v="2024-11-28T00:00:00"/>
        <d v="2025-08-29T00:00:00"/>
        <d v="2024-05-24T00:00:00"/>
        <d v="2025-10-04T00:00:00"/>
        <d v="2025-02-23T00:00:00"/>
        <d v="2024-05-11T00:00:00"/>
        <d v="2025-09-07T00:00:00"/>
        <d v="2025-05-20T00:00:00"/>
        <d v="2024-07-22T00:00:00"/>
        <d v="2024-12-20T00:00:00"/>
        <d v="2025-12-10T00:00:00"/>
        <d v="2024-12-27T00:00:00"/>
        <d v="2024-09-07T00:00:00"/>
        <d v="2024-08-05T00:00:00"/>
        <d v="2024-07-01T00:00:00"/>
        <d v="2025-07-15T00:00:00"/>
        <d v="2024-07-27T00:00:00"/>
        <d v="2025-01-21T00:00:00"/>
        <d v="2025-01-24T00:00:00"/>
        <d v="2025-01-19T00:00:00"/>
        <d v="2024-04-03T00:00:00"/>
        <d v="2024-10-11T00:00:00"/>
        <d v="2024-11-23T00:00:00"/>
        <d v="2025-09-29T00:00:00"/>
        <d v="2025-08-13T00:00:00"/>
        <d v="2024-09-02T00:00:00"/>
        <d v="2025-06-15T00:00:00"/>
        <d v="2024-11-22T00:00:00"/>
        <d v="2025-01-31T00:00:00"/>
        <d v="2024-05-29T00:00:00"/>
        <d v="2024-10-25T00:00:00"/>
        <d v="2025-07-29T00:00:00"/>
        <d v="2024-06-17T00:00:00"/>
        <d v="2024-11-12T00:00:00"/>
        <d v="2024-10-10T00:00:00"/>
        <d v="2024-12-03T00:00:00"/>
        <d v="2025-10-10T00:00:00"/>
        <d v="2024-08-07T00:00:00"/>
        <d v="2024-06-22T00:00:00"/>
        <d v="2024-01-18T00:00:00"/>
        <d v="2024-07-19T00:00:00"/>
        <d v="2024-08-12T00:00:00"/>
        <d v="2025-01-30T00:00:00"/>
        <d v="2024-06-04T00:00:00"/>
        <d v="2025-11-05T00:00:00"/>
        <d v="2024-04-24T00:00:00"/>
        <d v="2024-10-26T00:00:00"/>
        <d v="2025-03-31T00:00:00"/>
        <d v="2025-05-30T00:00:00"/>
        <d v="2025-07-01T00:00:00"/>
        <d v="2025-05-01T00:00:00"/>
        <d v="2024-07-02T00:00:00"/>
        <d v="2024-01-09T00:00:00"/>
        <d v="2024-07-20T00:00:00"/>
        <d v="2024-07-13T00:00:00"/>
        <d v="2024-04-16T00:00:00"/>
        <d v="2024-10-30T00:00:00"/>
        <d v="2024-01-25T00:00:00"/>
        <d v="2024-12-23T00:00:00"/>
        <d v="2024-04-22T00:00:00"/>
        <d v="2025-08-28T00:00:00"/>
        <d v="2025-03-02T00:00:00"/>
        <d v="2024-09-04T00:00:00"/>
        <d v="2025-08-22T00:00:00"/>
        <d v="2025-04-16T00:00:00"/>
        <d v="2024-11-02T00:00:00"/>
        <d v="2025-03-29T00:00:00"/>
        <d v="2025-02-27T00:00:00"/>
        <d v="2024-03-11T00:00:00"/>
        <d v="2025-08-07T00:00:00"/>
        <d v="2025-07-16T00:00:00"/>
        <d v="2025-09-27T00:00:00"/>
        <d v="2024-10-08T00:00:00"/>
        <d v="2025-03-16T00:00:00"/>
        <d v="2024-03-08T00:00:00"/>
        <d v="2024-01-10T00:00:00"/>
        <d v="2024-07-30T00:00:00"/>
        <d v="2024-01-07T00:00:00"/>
        <d v="2024-08-02T00:00:00"/>
        <d v="2024-03-24T00:00:00"/>
        <d v="2024-05-09T00:00:00"/>
        <d v="2025-08-24T00:00:00"/>
        <d v="2025-01-23T00:00:00"/>
        <d v="2024-06-09T00:00:00"/>
        <d v="2025-09-05T00:00:00"/>
        <d v="2024-05-06T00:00:00"/>
        <d v="2025-08-08T00:00:00"/>
        <d v="2024-01-26T00:00:00"/>
        <d v="2025-01-11T00:00:00"/>
        <d v="2025-12-09T00:00:00"/>
        <d v="2025-12-07T00:00:00"/>
        <d v="2025-02-05T00:00:00"/>
        <d v="2025-01-02T00:00:00"/>
        <d v="2024-06-24T00:00:00"/>
        <d v="2024-02-20T00:00:00"/>
        <d v="2024-10-29T00:00:00"/>
        <d v="2024-08-15T00:00:00"/>
        <d v="2025-08-23T00:00:00"/>
        <d v="2024-10-18T00:00:00"/>
        <d v="2025-06-27T00:00:00"/>
        <d v="2024-10-01T00:00:00"/>
        <d v="2024-02-12T00:00:00"/>
        <d v="2024-09-25T00:00:00"/>
        <d v="2025-02-15T00:00:00"/>
        <d v="2024-02-15T00:00:00"/>
        <d v="2024-10-06T00:00:00"/>
        <d v="2024-12-06T00:00:00"/>
        <d v="2024-11-30T00:00:00"/>
        <d v="2025-07-17T00:00:00"/>
        <d v="2025-09-24T00:00:00"/>
        <d v="2024-12-13T00:00:00"/>
        <d v="2024-01-27T00:00:00"/>
        <d v="2024-04-11T00:00:00"/>
        <d v="2025-07-14T00:00:00"/>
        <d v="2025-02-09T00:00:00"/>
        <d v="2025-09-01T00:00:00"/>
        <d v="2024-01-20T00:00:00"/>
        <d v="2025-02-03T00:00:00"/>
        <d v="2024-05-31T00:00:00"/>
        <d v="2024-03-23T00:00:00"/>
        <d v="2024-03-30T00:00:00"/>
        <d v="2024-06-07T00:00:00"/>
        <d v="2025-04-11T00:00:00"/>
        <d v="2025-07-30T00:00:00"/>
        <d v="2025-09-02T00:00:00"/>
        <d v="2024-01-30T00:00:00"/>
        <d v="2024-03-04T00:00:00"/>
        <d v="2024-06-27T00:00:00"/>
        <d v="2024-06-14T00:00:00"/>
        <d v="2025-09-23T00:00:00"/>
        <d v="2024-12-02T00:00:00"/>
        <d v="2025-01-26T00:00:00"/>
        <d v="2025-03-27T00:00:00"/>
        <d v="2024-10-22T00:00:00"/>
        <d v="2024-09-09T00:00:00"/>
        <d v="2025-10-08T00:00:00"/>
        <d v="2025-07-24T00:00:00"/>
        <d v="2024-09-03T00:00:00"/>
        <d v="2025-09-21T00:00:00"/>
        <d v="2025-09-09T00:00:00"/>
        <d v="2025-02-20T00:00:00"/>
        <d v="2025-08-18T00:00:00"/>
        <d v="2025-01-20T00:00:00"/>
        <d v="2025-09-13T00:00:00"/>
        <d v="2025-08-02T00:00:00"/>
        <d v="2024-05-02T00:00:00"/>
        <d v="2025-09-28T00:00:00"/>
        <d v="2025-03-18T00:00:00"/>
        <d v="2024-06-01T00:00:00"/>
        <d v="2024-09-30T00:00:00"/>
        <d v="2024-03-15T00:00:00"/>
        <d v="2024-08-26T00:00:00"/>
        <d v="2024-10-16T00:00:00"/>
        <d v="2025-06-24T00:00:00"/>
        <d v="2024-02-04T00:00:00"/>
        <d v="2025-01-05T00:00:00"/>
        <d v="2025-05-21T00:00:00"/>
        <d v="2025-06-05T00:00:00"/>
        <d v="2025-04-20T00:00:00"/>
        <d v="2024-10-19T00:00:00"/>
        <d v="2024-09-12T00:00:00"/>
        <d v="2024-06-23T00:00:00"/>
        <d v="2025-01-28T00:00:00"/>
        <d v="2025-07-22T00:00:00"/>
        <d v="2024-01-22T00:00:00"/>
        <d v="2024-06-05T00:00:00"/>
        <d v="2025-07-26T00:00:00"/>
        <d v="2025-03-28T00:00:00"/>
        <d v="2024-03-28T00:00:00"/>
        <d v="2025-07-20T00:00:00"/>
        <d v="2025-04-21T00:00:00"/>
        <d v="2025-05-18T00:00:00"/>
        <d v="2024-10-07T00:00:00"/>
        <d v="2025-06-29T00:00:00"/>
        <d v="2024-05-16T00:00:00"/>
        <d v="2024-09-21T00:00:00"/>
        <d v="2024-05-15T00:00:00"/>
        <d v="2024-03-17T00:00:00"/>
        <d v="2024-03-01T00:00:00"/>
        <d v="2025-04-01T00:00:00"/>
        <d v="2025-02-26T00:00:00"/>
        <d v="2024-06-18T00:00:00"/>
        <d v="2024-03-09T00:00:00"/>
        <d v="2025-01-12T00:00:00"/>
        <d v="2025-04-29T00:00:00"/>
        <d v="2025-02-19T00:00:00"/>
        <d v="2025-02-10T00:00:00"/>
        <d v="2024-02-09T00:00:00"/>
        <d v="2025-04-10T00:00:00"/>
        <d v="2024-05-07T00:00:00"/>
        <d v="2025-06-28T00:00:00"/>
        <d v="2024-05-28T00:00:00"/>
        <d v="2024-02-05T00:00:00"/>
        <d v="2025-04-06T00:00:00"/>
        <d v="2024-10-14T00:00:00"/>
        <d v="2024-02-11T00:00:00"/>
        <d v="2024-08-27T00:00:00"/>
        <d v="2024-12-01T00:00:00"/>
        <d v="2024-12-17T00:00:00"/>
        <d v="2025-06-07T00:00:00"/>
        <d v="2025-07-02T00:00:00"/>
        <d v="2024-08-23T00:00:00"/>
        <d v="2024-04-05T00:00:00"/>
        <d v="2024-07-25T00:00:00"/>
        <d v="2024-02-06T00:00:00"/>
        <d v="2025-01-08T00:00:00"/>
        <d v="2024-02-21T00:00:00"/>
        <d v="2025-06-04T00:00:00"/>
        <d v="2025-06-25T00:00:00"/>
        <d v="2024-12-09T00:00:00"/>
        <d v="2025-01-01T00:00:00"/>
        <d v="2025-04-02T00:00:00"/>
        <d v="2025-09-08T00:00:00"/>
        <d v="2024-12-30T00:00:00"/>
        <d v="2024-06-21T00:00:00"/>
        <d v="2025-06-18T00:00:00"/>
        <d v="2025-05-26T00:00:00"/>
        <d v="2025-06-08T00:00:00"/>
        <d v="2024-11-14T00:00:00"/>
        <d v="2025-03-05T00:00:00"/>
        <d v="2025-05-28T00:00:00"/>
        <d v="2025-08-17T00:00:00"/>
        <d v="2025-10-02T00:00:00"/>
        <d v="2024-12-21T00:00:00"/>
        <d v="2024-08-18T00:00:00"/>
        <d v="2025-02-13T00:00:00"/>
        <d v="2024-04-07T00:00:00"/>
        <d v="2025-03-07T00:00:00"/>
        <d v="2025-07-25T00:00:00"/>
        <d v="2025-03-13T00:00:00"/>
        <d v="2025-08-15T00:00:00"/>
        <d v="2024-02-28T00:00:00"/>
        <d v="2025-06-19T00:00:00"/>
        <d v="2024-05-04T00:00:00"/>
        <d v="2025-02-28T00:00:00"/>
        <d v="2024-07-03T00:00:00"/>
        <d v="2025-05-24T00:00:00"/>
        <d v="2024-11-06T00:00:00"/>
        <d v="2024-04-15T00:00:00"/>
        <d v="2024-06-03T00:00:00"/>
        <d v="2024-01-05T00:00:00"/>
        <d v="2025-06-13T00:00:00"/>
        <d v="2024-07-04T00:00:00"/>
        <d v="2024-04-27T00:00:00"/>
        <d v="2024-07-31T00:00:00"/>
        <d v="2024-02-07T00:00:00"/>
        <d v="2024-02-16T00:00:00"/>
        <d v="2024-04-25T00:00:00"/>
        <d v="2024-08-21T00:00:00"/>
        <d v="2024-04-12T00:00:00"/>
        <d v="2024-12-11T00:00:00"/>
        <d v="2024-02-25T00:00:00"/>
        <d v="2025-07-31T00:00:00"/>
        <d v="2025-09-16T00:00:00"/>
        <d v="2024-07-24T00:00:00"/>
        <d v="2025-05-29T00:00:00"/>
        <d v="2025-12-05T00:00:00"/>
        <d v="2024-12-04T00:00:00"/>
        <d v="2025-05-27T00:00:00"/>
        <d v="2025-06-22T00:00:00"/>
        <d v="2025-06-16T00:00:00"/>
        <d v="2024-12-08T00:00:00"/>
        <d v="2024-01-21T00:00:00"/>
        <d v="2025-08-09T00:00:00"/>
        <d v="2025-03-10T00:00:00"/>
        <d v="2024-09-14T00:00:00"/>
        <d v="2025-05-23T00:00:00"/>
        <d v="2025-02-21T00:00:00"/>
        <d v="2024-05-12T00:00:00"/>
        <d v="2025-07-07T00:00:00"/>
        <d v="2025-03-21T00:00:00"/>
        <d v="2024-06-15T00:00:00"/>
        <d v="2025-01-16T00:00:00"/>
        <d v="2025-07-06T00:00:00"/>
        <d v="2025-08-16T00:00:00"/>
        <d v="2025-04-13T00:00:00"/>
        <d v="2024-12-31T00:00:00"/>
        <d v="2024-12-29T00:00:00"/>
        <d v="2025-05-22T00:00:00"/>
        <d v="2024-09-19T00:00:00"/>
        <d v="2025-09-19T00:00:00"/>
        <d v="2025-04-03T00:00:00"/>
        <d v="2025-12-02T00:00:00"/>
        <d v="2025-08-10T00:00:00"/>
        <d v="2024-05-13T00:00:00"/>
        <d v="2024-06-11T00:00:00"/>
        <d v="2025-02-14T00:00:00"/>
        <d v="2024-02-19T00:00:00"/>
        <d v="2024-06-06T00:00:00"/>
        <d v="2025-04-14T00:00:00"/>
        <d v="2025-09-06T00:00:00"/>
        <d v="2025-04-24T00:00:00"/>
        <d v="2025-06-06T00:00:00"/>
        <d v="2025-09-03T00:00:00"/>
        <d v="2024-03-22T00:00:00"/>
        <d v="2024-09-23T00:00:00"/>
        <d v="2025-02-25T00:00:00"/>
        <d v="2024-12-05T00:00:00"/>
        <d v="2024-08-29T00:00:00"/>
        <d v="2025-08-01T00:00:00"/>
        <d v="2025-01-29T00:00:00"/>
        <d v="2024-09-11T00:00:00"/>
        <d v="2025-09-26T00:00:00"/>
        <d v="2025-06-14T00:00:00"/>
        <d v="2025-03-09T00:00:00"/>
        <d v="2024-06-26T00:00:00"/>
        <d v="2024-09-26T00:00:00"/>
        <d v="2024-06-30T00:00:00"/>
        <d v="2025-04-22T00:00:00"/>
        <d v="2025-03-15T00:00:00"/>
        <d v="2025-01-03T00:00:00"/>
        <d v="2024-08-30T00:00:00"/>
        <d v="2024-10-02T00:00:00"/>
        <d v="2024-04-19T00:00:00"/>
        <d v="2025-11-04T00:00:00"/>
        <d v="2025-12-04T00:00:00"/>
        <d v="2024-06-16T00:00:00"/>
        <d v="2025-07-05T00:00:00"/>
        <d v="2025-06-30T00:00:00"/>
        <d v="2024-10-03T00:00:00"/>
        <d v="2025-12-01T00:00:00"/>
        <d v="2024-04-04T00:00:00"/>
        <d v="2025-12-08T00:00:00"/>
        <d v="2024-09-05T00:00:00"/>
        <d v="2025-09-18T00:00:00"/>
        <d v="2024-01-15T00:00:00"/>
        <d v="2025-12-06T00:00:00"/>
        <d v="2024-05-10T00:00:00"/>
        <d v="2025-03-23T00:00:00"/>
        <d v="2024-07-18T00:00:00"/>
        <d v="2025-09-30T00:00:00"/>
        <d v="2025-05-25T00:00:00"/>
        <d v="2025-02-07T00:00:00"/>
        <d v="2025-03-11T00:00:00"/>
        <d v="2024-01-29T00:00:00"/>
        <d v="2024-01-04T00:00:00"/>
        <d v="2024-08-20T00:00:00"/>
        <d v="2024-01-19T00:00:00"/>
        <d v="2024-07-28T00:00:00"/>
        <d v="2024-03-02T00:00:00"/>
        <d v="2024-11-13T00:00:00"/>
        <d v="2024-07-05T00:00:00"/>
        <d v="2024-09-06T00:00:00"/>
        <d v="2024-02-23T00:00:00"/>
        <d v="2025-05-06T00:00:00"/>
        <d v="2024-12-25T00:00:00"/>
        <d v="2024-12-28T00:00:00"/>
        <d v="2025-01-22T00:00:00"/>
        <d v="2025-10-06T00:00:00"/>
        <d v="2024-09-16T00:00:00"/>
        <d v="2025-04-07T00:00:00"/>
        <d v="2025-07-09T00:00:00"/>
        <d v="2024-12-22T00:00:00"/>
        <d v="2024-05-17T00:00:00"/>
        <d v="2024-11-08T00:00:00"/>
        <d v="2024-09-28T00:00:00"/>
        <d v="2024-12-15T00:00:00"/>
        <d v="2025-04-15T00:00:00"/>
        <d v="2024-03-31T00:00:00"/>
        <d v="2024-10-23T00:00:00"/>
        <d v="2024-11-18T00:00:00"/>
        <d v="2025-04-30T00:00:00"/>
        <d v="2025-07-03T00:00:00"/>
        <d v="2024-07-16T00:00:00"/>
        <d v="2025-03-25T00:00:00"/>
        <d v="2024-04-02T00:00:00"/>
        <d v="2024-10-17T00:00:00"/>
        <d v="2025-07-18T00:00:00"/>
        <d v="2025-10-01T00:00:00"/>
        <d v="2024-07-10T00:00:00"/>
        <d v="2024-06-02T00:00:00"/>
        <d v="2024-01-08T00:00:00"/>
        <d v="2025-05-10T00:00:00"/>
        <d v="2024-08-25T00:00:00"/>
        <d v="2025-04-27T00:00:00"/>
        <d v="2024-05-19T00:00:00"/>
        <d v="2024-02-26T00:00:00"/>
        <d v="2025-07-08T00:00:00"/>
        <d v="2024-09-17T00:00:00"/>
        <d v="2024-07-14T00:00:00"/>
        <d v="2024-05-27T00:00:00"/>
        <d v="2025-08-14T00:00:00"/>
        <d v="2025-11-10T00:00:00"/>
        <d v="2024-02-27T00:00:00"/>
        <d v="2025-04-25T00:00:00"/>
        <d v="2024-12-10T00:00:00"/>
        <d v="2025-02-04T00:00:00"/>
        <d v="2025-04-09T00:00:00"/>
        <d v="2024-01-16T00:00:00"/>
        <d v="2024-10-05T00:00:00"/>
        <d v="2024-02-01T00:00:00"/>
        <d v="2025-09-22T00:00:00"/>
        <d v="2025-11-03T00:00:00"/>
        <d v="2024-02-17T00:00:00"/>
        <d v="2024-06-19T00:00:00"/>
        <d v="2025-03-06T00:00:00"/>
        <d v="2024-10-15T00:00:00"/>
        <d v="2024-04-08T00:00:00"/>
        <d v="2025-04-12T00:00:00"/>
        <d v="2025-07-23T00:00:00"/>
        <d v="2024-06-12T00:00:00"/>
        <d v="2024-02-22T00:00:00"/>
        <d v="2025-11-02T00:00:00"/>
        <d v="2024-10-04T00:00:00"/>
        <d v="2024-08-17T00:00:00"/>
        <d v="2024-08-19T00:00:00"/>
        <d v="2025-03-01T00:00:00"/>
        <d v="2025-02-22T00:00:00"/>
        <d v="2025-02-16T00:00:00"/>
        <d v="2024-05-20T00:00:00"/>
        <d v="2024-04-10T00:00:00"/>
        <d v="2024-08-16T00:00:00"/>
        <d v="2024-09-29T00:00:00"/>
        <d v="2024-07-23T00:00:00"/>
        <d v="2024-08-08T00:00:00"/>
        <d v="2025-10-09T00:00:00"/>
        <d v="2025-04-18T00:00:00"/>
        <d v="2025-11-01T00:00:00"/>
        <d v="2024-02-10T00:00:00"/>
        <d v="2024-05-26T00:00:00"/>
        <d v="2025-01-14T00:00:00"/>
        <d v="2025-09-04T00:00:00"/>
        <d v="2024-04-01T00:00:00"/>
        <d v="2024-09-18T00:00:00"/>
        <d v="2024-04-21T00:00:00"/>
        <d v="2025-11-08T00:00:00"/>
        <d v="2024-04-13T00:00:00"/>
        <d v="2025-03-17T00:00:00"/>
        <d v="2025-04-04T00:00:00"/>
        <d v="2025-08-26T00:00:00"/>
        <d v="2024-01-14T00:00:00"/>
        <d v="2024-07-12T00:00:00"/>
        <d v="2025-01-13T00:00:00"/>
        <d v="2024-11-21T00:00:00"/>
        <d v="2025-02-02T00:00:00"/>
        <d v="2024-04-09T00:00:00"/>
        <d v="2024-05-18T00:00:00"/>
        <d v="2025-11-09T00:00:00"/>
        <d v="2024-11-24T00:00:00"/>
        <d v="2025-05-02T00:00:00"/>
        <d v="2025-07-21T00:00:00"/>
        <d v="2025-01-10T00:00:00"/>
        <d v="2024-03-25T00:00:00"/>
        <d v="2024-11-09T00:00:00"/>
        <d v="2025-10-05T00:00:00"/>
        <d v="2024-04-30T00:00:00"/>
        <d v="2024-03-13T00:00:00"/>
        <d v="2024-08-09T00:00:00"/>
        <d v="2025-03-20T00:00:00"/>
        <d v="2024-12-07T00:00:00"/>
        <d v="2025-03-22T00:00:00"/>
        <d v="2025-10-12T00:00:00"/>
        <d v="2025-06-10T00:00:00"/>
        <d v="2024-01-17T00:00:00"/>
        <d v="2024-10-13T00:00:00"/>
        <d v="2025-05-17T00:00:00"/>
        <d v="2024-08-24T00:00:00"/>
        <d v="2024-03-12T00:00:00"/>
        <d v="2025-04-23T00:00:00"/>
        <d v="2024-10-24T00:00:00"/>
        <d v="2024-05-30T00:00:00"/>
        <d v="2024-03-21T00:00:00"/>
        <d v="2025-02-06T00:00:00"/>
        <d v="2024-10-27T00:00:00"/>
        <d v="2024-08-28T00:00:00"/>
        <d v="2025-08-27T00:00:00"/>
        <d v="2024-01-01T00:00:00"/>
        <d v="2024-03-05T00:00:00"/>
        <d v="2024-11-05T00:00:00"/>
        <d v="2024-04-14T00:00:00"/>
        <d v="2024-02-02T00:00:00"/>
        <d v="2025-03-14T00:00:00"/>
        <d v="2024-07-06T00:00:00"/>
        <d v="2024-05-23T00:00:00"/>
        <d v="2024-04-18T00:00:00"/>
        <d v="2025-11-07T00:00:00"/>
        <d v="2024-01-03T00:00:00"/>
        <d v="2025-09-10T00:00:00"/>
        <d v="2025-08-31T00:00:00"/>
        <d v="2024-12-12T00:00:00"/>
        <d v="2024-11-27T00:00:00"/>
        <d v="2025-05-04T00:00:00"/>
        <d v="2024-03-07T00:00:00"/>
        <d v="2025-06-01T00:00:00"/>
        <d v="2025-03-04T00:00:00"/>
        <d v="2024-04-06T00:00:00"/>
        <d v="2024-09-20T00:00:00"/>
        <d v="2025-06-02T00:00:00"/>
        <d v="2024-03-26T00:00:00"/>
        <d v="2025-05-16T00:00:00"/>
        <d v="2025-08-03T00:00:00"/>
        <d v="2025-03-26T00:00:00"/>
        <d v="2025-06-09T00:00:00"/>
        <d v="2025-06-03T00:00:00"/>
        <d v="2024-01-11T00:00:00"/>
        <d v="2024-01-12T00:00:00"/>
        <d v="2025-04-28T00:00:00"/>
        <d v="2025-01-18T00:00:00"/>
        <d v="2024-05-01T00:00:00"/>
        <d v="2025-04-26T00:00:00"/>
        <d v="2025-08-06T00:00:00"/>
        <d v="2025-10-03T00:00:00"/>
        <d v="2024-08-10T00:00:00"/>
        <d v="2024-12-24T00:00:00"/>
        <m/>
      </sharedItems>
      <fieldGroup par="34"/>
    </cacheField>
    <cacheField name="Ship_Date" numFmtId="0">
      <sharedItems containsNonDate="0" containsDate="1" containsString="0" containsBlank="1" minDate="2024-01-02T00:00:00" maxDate="2025-12-10T00:00:00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6">
        <s v="North"/>
        <s v="East"/>
        <s v="South"/>
        <s v="West"/>
        <s v=""/>
        <m/>
      </sharedItems>
    </cacheField>
    <cacheField name="State" numFmtId="0">
      <sharedItems containsBlank="1" count="20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  <m/>
      </sharedItems>
    </cacheField>
    <cacheField name="City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"/>
        <m/>
      </sharedItems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Ship month" numFmtId="0">
      <sharedItems containsBlank="1"/>
    </cacheField>
    <cacheField name="OK/Invalid Status for Shipping Date" numFmtId="0">
      <sharedItems/>
    </cacheField>
    <cacheField name="Discount Validation - Negative" numFmtId="0">
      <sharedItems containsMixedTypes="1" containsNumber="1" containsInteger="1" minValue="0" maxValue="0"/>
    </cacheField>
    <cacheField name="Discount Missing" numFmtId="0">
      <sharedItems containsSemiMixedTypes="0" containsString="0" containsNumber="1" minValue="-0.24" maxValue="0.85"/>
    </cacheField>
    <cacheField name="Duplicate Order_Id" numFmtId="0">
      <sharedItems containsSemiMixedTypes="0" containsString="0" containsNumber="1" containsInteger="1" minValue="0" maxValue="2"/>
    </cacheField>
    <cacheField name="Calcualted Profit" numFmtId="0">
      <sharedItems containsSemiMixedTypes="0" containsString="0" containsNumber="1" minValue="-23452.5635" maxValue="15225.999000000003"/>
    </cacheField>
    <cacheField name="calculated_sales" numFmtId="0">
      <sharedItems containsSemiMixedTypes="0" containsString="0" containsNumber="1" minValue="0" maxValue="36782.271000000008"/>
    </cacheField>
    <cacheField name="Shippng Delay" numFmtId="0">
      <sharedItems containsMixedTypes="1" containsNumber="1" containsInteger="1" minValue="-323" maxValue="328"/>
    </cacheField>
    <cacheField name="Region Missing" numFmtId="0">
      <sharedItems/>
    </cacheField>
    <cacheField name="Field31" caption="Field31" numFmtId="0">
      <sharedItems/>
    </cacheField>
    <cacheField name="Ship Mode missing" numFmtId="0">
      <sharedItems containsBlank="1"/>
    </cacheField>
    <cacheField name="Months (Order_Date)" numFmtId="0" databaseField="0">
      <fieldGroup base="1">
        <rangePr groupBy="months" startDate="2024-01-01T00:00:00" endDate="2025-12-1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1/2025"/>
        </groupItems>
      </fieldGroup>
    </cacheField>
    <cacheField name="Quarters (Order_Date)" numFmtId="0" databaseField="0">
      <fieldGroup base="1">
        <rangePr groupBy="quarters" startDate="2024-01-01T00:00:00" endDate="2025-12-11T00:00:00"/>
        <groupItems count="6">
          <s v="&lt;1/1/2024"/>
          <s v="Qtr1"/>
          <s v="Qtr2"/>
          <s v="Qtr3"/>
          <s v="Qtr4"/>
          <s v="&gt;12/11/2025"/>
        </groupItems>
      </fieldGroup>
    </cacheField>
    <cacheField name="Years (Order_Date)" numFmtId="0" databaseField="0">
      <fieldGroup base="1">
        <rangePr groupBy="years" startDate="2024-01-01T00:00:00" endDate="2025-12-11T00:00:00"/>
        <groupItems count="4">
          <s v="&lt;1/1/2024"/>
          <s v="2024"/>
          <s v="2025"/>
          <s v="&gt;12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x v="0"/>
    <d v="2024-07-27T00:00:00"/>
    <s v="Cust-4655"/>
    <s v="Karan Malhotra"/>
    <x v="0"/>
    <x v="0"/>
    <x v="0"/>
    <s v="Jaipur"/>
    <x v="0"/>
    <x v="0"/>
    <s v="Pro Paper 122"/>
    <x v="0"/>
    <n v="8"/>
    <n v="2976.45"/>
    <n v="0.2"/>
    <n v="19049.28"/>
    <n v="15841.89"/>
    <n v="3207.39"/>
    <x v="0"/>
    <x v="0"/>
    <s v="July"/>
    <s v="OK"/>
    <s v="OK"/>
    <n v="0.2"/>
    <n v="1"/>
    <n v="3207.3899999999994"/>
    <n v="19049.28"/>
    <n v="6"/>
    <s v="North"/>
    <s v="Clean"/>
    <s v="Second Class"/>
  </r>
  <r>
    <s v="Ord-2024-10002"/>
    <x v="1"/>
    <d v="2024-09-05T00:00:00"/>
    <s v="Cust-2054"/>
    <s v="Mira Das"/>
    <x v="1"/>
    <x v="1"/>
    <x v="1"/>
    <s v="Bhubaneswar"/>
    <x v="1"/>
    <x v="1"/>
    <s v="Pro Tables 258"/>
    <x v="1"/>
    <n v="3"/>
    <n v="2437.5"/>
    <n v="0"/>
    <n v="7312.5"/>
    <n v="4904.7299999999996"/>
    <n v="2407.77"/>
    <x v="0"/>
    <x v="0"/>
    <s v="September"/>
    <s v="OK"/>
    <s v="OK"/>
    <n v="0"/>
    <n v="1"/>
    <n v="2407.7700000000004"/>
    <n v="7312.5"/>
    <n v="5"/>
    <s v="East"/>
    <s v="Clean"/>
    <s v="Same Day"/>
  </r>
  <r>
    <s v="Ord-2024-10003"/>
    <x v="2"/>
    <d v="2024-06-15T00:00:00"/>
    <s v="Cust-6843"/>
    <s v="Isha Nair"/>
    <x v="0"/>
    <x v="1"/>
    <x v="1"/>
    <s v="Bhubaneswar"/>
    <x v="0"/>
    <x v="2"/>
    <s v="Elite Art 525"/>
    <x v="2"/>
    <n v="4"/>
    <n v="1065.43"/>
    <n v="0.55000000000000004"/>
    <n v="4261.72"/>
    <n v="2465.69"/>
    <n v="1796.03"/>
    <x v="0"/>
    <x v="0"/>
    <s v="June"/>
    <s v="Invalid"/>
    <s v="OK"/>
    <n v="0.55000000000000004"/>
    <n v="1"/>
    <n v="-547.91600000000017"/>
    <n v="1917.7739999999999"/>
    <n v="-52"/>
    <s v="East"/>
    <s v="ivalid"/>
    <s v="First Class"/>
  </r>
  <r>
    <s v="Ord-2024-10004"/>
    <x v="3"/>
    <d v="2024-11-29T00:00:00"/>
    <s v="Cust-3722"/>
    <s v="Arjun Bose"/>
    <x v="1"/>
    <x v="2"/>
    <x v="2"/>
    <s v="Hyderabad"/>
    <x v="1"/>
    <x v="3"/>
    <s v="Smart Furnishings 294"/>
    <x v="3"/>
    <n v="6"/>
    <n v="1848.43"/>
    <n v="0.25"/>
    <n v="8317.93"/>
    <n v="6796.77"/>
    <n v="1521.16"/>
    <x v="0"/>
    <x v="0"/>
    <s v="November"/>
    <s v="OK"/>
    <s v="OK"/>
    <n v="0.25"/>
    <n v="1"/>
    <n v="1521.1649999999991"/>
    <n v="8317.9349999999995"/>
    <n v="1"/>
    <s v="South"/>
    <s v="Clean"/>
    <s v="Standard Class"/>
  </r>
  <r>
    <s v="Ord-2025-10005"/>
    <x v="4"/>
    <d v="2025-09-01T00:00:00"/>
    <s v="Cust-8130"/>
    <s v="Ananya Rao"/>
    <x v="1"/>
    <x v="3"/>
    <x v="3"/>
    <s v="Mumbai"/>
    <x v="1"/>
    <x v="4"/>
    <s v="Elite Chairs 543"/>
    <x v="2"/>
    <n v="7"/>
    <n v="2973.76"/>
    <n v="0"/>
    <n v="20816.32"/>
    <n v="17705.37"/>
    <n v="3110.95"/>
    <x v="0"/>
    <x v="1"/>
    <s v="September"/>
    <s v="OK"/>
    <s v="OK"/>
    <n v="0"/>
    <n v="1"/>
    <n v="3110.9500000000007"/>
    <n v="20816.32"/>
    <n v="3"/>
    <s v="West"/>
    <s v="Clean"/>
    <s v="First Class"/>
  </r>
  <r>
    <s v="Ord-2024-10006"/>
    <x v="5"/>
    <d v="2024-05-28T00:00:00"/>
    <s v="Cust-6056"/>
    <s v="Vikram Iyer"/>
    <x v="1"/>
    <x v="3"/>
    <x v="4"/>
    <s v="Indore"/>
    <x v="2"/>
    <x v="5"/>
    <s v="Pro Accessories 821"/>
    <x v="1"/>
    <n v="3"/>
    <n v="1053.1099999999999"/>
    <n v="0.2"/>
    <n v="2527.46"/>
    <n v="1533.58"/>
    <n v="993.88"/>
    <x v="0"/>
    <x v="0"/>
    <s v="May"/>
    <s v="OK"/>
    <s v="OK"/>
    <n v="0.2"/>
    <n v="1"/>
    <n v="993.88400000000001"/>
    <n v="2527.4639999999999"/>
    <n v="4"/>
    <s v="West"/>
    <s v="Clean"/>
    <s v="Same Day"/>
  </r>
  <r>
    <s v="Ord-2025-10007"/>
    <x v="6"/>
    <d v="2025-04-16T00:00:00"/>
    <s v="Cust-3656"/>
    <s v="Neha Gupta"/>
    <x v="0"/>
    <x v="1"/>
    <x v="1"/>
    <s v="Bhubaneswar"/>
    <x v="2"/>
    <x v="6"/>
    <s v="Eco Copiers 790"/>
    <x v="3"/>
    <n v="4"/>
    <n v="1719.87"/>
    <n v="0.15"/>
    <n v="5847.56"/>
    <n v="4727.25"/>
    <n v="1120.31"/>
    <x v="0"/>
    <x v="0"/>
    <s v="April"/>
    <s v="Invalid"/>
    <s v="OK"/>
    <n v="0.15"/>
    <n v="1"/>
    <n v="1120.3079999999991"/>
    <n v="5847.5579999999991"/>
    <n v="-171"/>
    <s v="East"/>
    <s v="ivalid"/>
    <s v="Standard Class"/>
  </r>
  <r>
    <s v="Ord-2025-10008"/>
    <x v="7"/>
    <d v="2025-02-26T00:00:00"/>
    <s v="Cust-4683"/>
    <s v="Isha Nair"/>
    <x v="1"/>
    <x v="2"/>
    <x v="5"/>
    <s v="Vijayawada"/>
    <x v="0"/>
    <x v="2"/>
    <s v="Eco Art 848"/>
    <x v="2"/>
    <n v="1"/>
    <n v="2980.71"/>
    <n v="0"/>
    <n v="2980.71"/>
    <n v="2357.2199999999998"/>
    <n v="623.49"/>
    <x v="0"/>
    <x v="0"/>
    <s v="February"/>
    <s v="OK"/>
    <s v="OK"/>
    <n v="0"/>
    <n v="1"/>
    <n v="623.49000000000024"/>
    <n v="2980.71"/>
    <n v="3"/>
    <s v="South"/>
    <s v="Clean"/>
    <s v="First Class"/>
  </r>
  <r>
    <s v="Ord-2024-10009"/>
    <x v="8"/>
    <d v="2024-10-11T00:00:00"/>
    <s v="Cust-2598"/>
    <s v="Aditi Sen"/>
    <x v="2"/>
    <x v="2"/>
    <x v="2"/>
    <s v="Hyderabad"/>
    <x v="0"/>
    <x v="7"/>
    <s v="Classic Labels 815"/>
    <x v="2"/>
    <n v="8"/>
    <n v="3134.2"/>
    <n v="0"/>
    <n v="25073.599999999999"/>
    <n v="17347.23"/>
    <n v="7726.37"/>
    <x v="0"/>
    <x v="0"/>
    <s v="October"/>
    <s v="OK"/>
    <s v="OK"/>
    <n v="0"/>
    <n v="1"/>
    <n v="7726.369999999999"/>
    <n v="25073.599999999999"/>
    <n v="153"/>
    <s v="South"/>
    <s v="Clean"/>
    <s v="First Class"/>
  </r>
  <r>
    <s v="Ord-2025-10010"/>
    <x v="9"/>
    <d v="2025-12-09T00:00:00"/>
    <s v="Cust-2483"/>
    <s v="Mira Das"/>
    <x v="3"/>
    <x v="2"/>
    <x v="2"/>
    <s v="Hyderabad"/>
    <x v="0"/>
    <x v="0"/>
    <s v="Pro Paper 622"/>
    <x v="0"/>
    <n v="9"/>
    <n v="852.04"/>
    <n v="0.2"/>
    <n v="6134.69"/>
    <n v="3800.19"/>
    <n v="2334.5"/>
    <x v="0"/>
    <x v="0"/>
    <s v="December"/>
    <s v="OK"/>
    <s v="OK"/>
    <n v="0.2"/>
    <n v="1"/>
    <n v="2334.498"/>
    <n v="6134.6880000000001"/>
    <n v="93"/>
    <s v="South"/>
    <s v="Clean"/>
    <s v="Second Class"/>
  </r>
  <r>
    <s v="Ord-2025-10011"/>
    <x v="10"/>
    <d v="2025-05-20T00:00:00"/>
    <s v="Cust-8092"/>
    <s v="Ananya Rao"/>
    <x v="2"/>
    <x v="1"/>
    <x v="6"/>
    <s v="Kolkata"/>
    <x v="0"/>
    <x v="7"/>
    <s v="Prime Labels 644"/>
    <x v="0"/>
    <n v="3"/>
    <n v="3534.83"/>
    <n v="0.05"/>
    <n v="10074.27"/>
    <n v="6048.27"/>
    <n v="4026"/>
    <x v="1"/>
    <x v="2"/>
    <s v="May"/>
    <s v="Invalid"/>
    <s v="OK"/>
    <n v="0.05"/>
    <n v="1"/>
    <n v="4025.9954999999991"/>
    <n v="10074.2655"/>
    <n v="0"/>
    <s v="East"/>
    <s v="Clean"/>
    <s v="Second Class"/>
  </r>
  <r>
    <s v="Ord-2024-10012"/>
    <x v="11"/>
    <d v="2024-07-23T00:00:00"/>
    <s v="Cust-6528"/>
    <s v="Vikram Iyer"/>
    <x v="1"/>
    <x v="1"/>
    <x v="1"/>
    <s v="Bhubaneswar"/>
    <x v="2"/>
    <x v="5"/>
    <s v="Smart Accessories 603"/>
    <x v="1"/>
    <n v="6"/>
    <n v="2005.95"/>
    <n v="0.2"/>
    <n v="9628.56"/>
    <n v="8038.59"/>
    <n v="1589.97"/>
    <x v="0"/>
    <x v="0"/>
    <s v="July"/>
    <s v="OK"/>
    <s v="OK"/>
    <n v="0.2"/>
    <n v="1"/>
    <n v="1589.9700000000012"/>
    <n v="9628.5600000000013"/>
    <n v="1"/>
    <s v="East"/>
    <s v="Clean"/>
    <s v="Same Day"/>
  </r>
  <r>
    <s v="Ord-2024-10013"/>
    <x v="12"/>
    <d v="2024-12-21T00:00:00"/>
    <s v="Cust-2648"/>
    <s v="Ananya Rao"/>
    <x v="2"/>
    <x v="3"/>
    <x v="0"/>
    <s v="Udaipur"/>
    <x v="0"/>
    <x v="0"/>
    <s v="Pro Paper 481"/>
    <x v="2"/>
    <n v="1"/>
    <n v="702.14"/>
    <n v="0.15"/>
    <n v="596.82000000000005"/>
    <n v="380.25"/>
    <n v="216.57"/>
    <x v="2"/>
    <x v="2"/>
    <s v="December"/>
    <s v="OK"/>
    <s v="OK"/>
    <n v="0.15"/>
    <n v="1"/>
    <n v="216.56899999999996"/>
    <n v="596.81899999999996"/>
    <n v="1"/>
    <s v="West"/>
    <s v="Clean"/>
    <s v="First Class"/>
  </r>
  <r>
    <s v="Ord-2025-10014"/>
    <x v="13"/>
    <d v="2025-10-16T00:00:00"/>
    <s v="Cust-7482"/>
    <s v="Priya Menon"/>
    <x v="1"/>
    <x v="3"/>
    <x v="3"/>
    <s v="Mumbai"/>
    <x v="0"/>
    <x v="2"/>
    <s v="Smart Art 795"/>
    <x v="0"/>
    <n v="7"/>
    <n v="3964.72"/>
    <n v="0.05"/>
    <n v="26365.39"/>
    <n v="22306.240000000002"/>
    <n v="4059.15"/>
    <x v="0"/>
    <x v="0"/>
    <s v="October"/>
    <s v="Invalid"/>
    <s v="OK"/>
    <n v="0.05"/>
    <n v="1"/>
    <n v="4059.1479999999938"/>
    <n v="26365.387999999995"/>
    <n v="-55"/>
    <s v="West"/>
    <s v="ivalid"/>
    <s v="Second Class"/>
  </r>
  <r>
    <s v="Ord-2024-10015"/>
    <x v="14"/>
    <d v="2024-12-28T00:00:00"/>
    <s v="Cust-4912"/>
    <s v="Rahul Verma"/>
    <x v="0"/>
    <x v="3"/>
    <x v="0"/>
    <s v="Udaipur"/>
    <x v="2"/>
    <x v="6"/>
    <s v="Max Copiers 983"/>
    <x v="3"/>
    <n v="2"/>
    <n v="2737.83"/>
    <n v="0.25"/>
    <n v="4106.74"/>
    <n v="2666.3"/>
    <n v="1440.44"/>
    <x v="0"/>
    <x v="0"/>
    <s v="December"/>
    <s v="OK"/>
    <s v="OK"/>
    <n v="0.25"/>
    <n v="1"/>
    <n v="1440.4449999999997"/>
    <n v="4106.7449999999999"/>
    <n v="1"/>
    <s v="West"/>
    <s v="Clean"/>
    <s v="Standard Class"/>
  </r>
  <r>
    <s v="Ord-2024-10016"/>
    <x v="15"/>
    <d v="2024-07-09T00:00:00"/>
    <s v="Cust-7656"/>
    <s v="Karan Malhotra"/>
    <x v="1"/>
    <x v="0"/>
    <x v="7"/>
    <s v="Ludhiana"/>
    <x v="0"/>
    <x v="8"/>
    <s v="Classic Storage 198"/>
    <x v="0"/>
    <n v="6"/>
    <n v="3965.76"/>
    <n v="0"/>
    <n v="23794.560000000001"/>
    <n v="15698.47"/>
    <n v="8096.09"/>
    <x v="0"/>
    <x v="0"/>
    <s v="July"/>
    <s v="Invalid"/>
    <s v="OK"/>
    <n v="0"/>
    <n v="1"/>
    <n v="8096.090000000002"/>
    <n v="23794.560000000001"/>
    <n v="-60"/>
    <s v="North"/>
    <s v="ivalid"/>
    <s v="Second Class"/>
  </r>
  <r>
    <s v="Ord-2024-10017"/>
    <x v="16"/>
    <d v="2024-05-15T00:00:00"/>
    <s v="Cust-6214"/>
    <s v="Aarav Sharma"/>
    <x v="0"/>
    <x v="2"/>
    <x v="2"/>
    <s v="Hyderabad"/>
    <x v="0"/>
    <x v="2"/>
    <s v="Basic Art 204"/>
    <x v="2"/>
    <n v="4"/>
    <n v="3323.51"/>
    <n v="0.25"/>
    <n v="9970.5300000000007"/>
    <n v="5668.17"/>
    <n v="4302.3599999999997"/>
    <x v="0"/>
    <x v="0"/>
    <s v="May"/>
    <s v="Invalid"/>
    <s v="OK"/>
    <n v="0.25"/>
    <n v="1"/>
    <n v="4302.3600000000006"/>
    <n v="9970.5300000000007"/>
    <n v="-82"/>
    <s v="South"/>
    <s v="ivalid"/>
    <s v="First Class"/>
  </r>
  <r>
    <s v="Ord-2024-10018"/>
    <x v="17"/>
    <d v="2024-01-08T00:00:00"/>
    <s v="Cust-1626"/>
    <s v="Sneha Kapoor"/>
    <x v="1"/>
    <x v="0"/>
    <x v="0"/>
    <s v="Jaipur"/>
    <x v="1"/>
    <x v="3"/>
    <s v="Basic Furnishings 434"/>
    <x v="1"/>
    <n v="5"/>
    <n v="1526.78"/>
    <n v="0"/>
    <n v="7633.9"/>
    <n v="4706.91"/>
    <n v="2926.99"/>
    <x v="0"/>
    <x v="0"/>
    <s v="January"/>
    <s v="Invalid"/>
    <s v="OK"/>
    <n v="0"/>
    <n v="1"/>
    <n v="2926.99"/>
    <n v="7633.9"/>
    <n v="-175"/>
    <s v="North"/>
    <s v="ivalid"/>
    <s v="Same Day"/>
  </r>
  <r>
    <s v="Ord-2025-10019"/>
    <x v="18"/>
    <d v="2025-07-17T00:00:00"/>
    <s v="Cust-2110"/>
    <s v="Aarav Sharma"/>
    <x v="3"/>
    <x v="0"/>
    <x v="8"/>
    <s v="Noida"/>
    <x v="2"/>
    <x v="6"/>
    <s v="Eco Copiers 755"/>
    <x v="2"/>
    <n v="2"/>
    <n v="1997.99"/>
    <n v="0"/>
    <n v="3995.98"/>
    <n v="2633.2"/>
    <n v="1362.78"/>
    <x v="1"/>
    <x v="1"/>
    <s v="July"/>
    <s v="OK"/>
    <s v="OK"/>
    <n v="0"/>
    <n v="1"/>
    <n v="1362.7800000000002"/>
    <n v="3995.98"/>
    <n v="2"/>
    <s v="North"/>
    <s v="Clean"/>
    <s v="First Class"/>
  </r>
  <r>
    <s v="Ord-2024-10020"/>
    <x v="19"/>
    <d v="2024-07-31T00:00:00"/>
    <s v="Cust-3186"/>
    <s v="Rohan Mehta"/>
    <x v="3"/>
    <x v="3"/>
    <x v="4"/>
    <s v="Indore"/>
    <x v="0"/>
    <x v="8"/>
    <s v="Prime Storage 121"/>
    <x v="0"/>
    <n v="3"/>
    <n v="3887.94"/>
    <n v="-0.19"/>
    <n v="9331.06"/>
    <n v="7529.31"/>
    <n v="1801.75"/>
    <x v="0"/>
    <x v="0"/>
    <s v="July"/>
    <s v="OK"/>
    <s v="Negative Discount"/>
    <n v="-0.19"/>
    <n v="1"/>
    <n v="6350.6357999999991"/>
    <n v="13879.9458"/>
    <n v="4"/>
    <s v="West"/>
    <s v="ivalid"/>
    <s v="Second Class"/>
  </r>
  <r>
    <s v="Ord-2025-10021"/>
    <x v="20"/>
    <d v="2025-01-23T00:00:00"/>
    <s v="Cust-3190"/>
    <s v="Aditi Sen"/>
    <x v="3"/>
    <x v="1"/>
    <x v="9"/>
    <s v="Patna"/>
    <x v="2"/>
    <x v="6"/>
    <s v="Elite Copiers 233"/>
    <x v="2"/>
    <n v="5"/>
    <n v="4373.0600000000004"/>
    <n v="0.25"/>
    <n v="16398.98"/>
    <n v="9556.52"/>
    <n v="6842.46"/>
    <x v="0"/>
    <x v="0"/>
    <s v="January"/>
    <s v="OK"/>
    <s v="OK"/>
    <n v="0.25"/>
    <n v="1"/>
    <n v="6842.4550000000017"/>
    <n v="16398.975000000002"/>
    <n v="2"/>
    <s v="East"/>
    <s v="Clean"/>
    <s v="First Class"/>
  </r>
  <r>
    <s v="Ord-2025-10022"/>
    <x v="21"/>
    <d v="2025-01-30T00:00:00"/>
    <s v="Cust-3036"/>
    <s v="Sneha Kapoor"/>
    <x v="0"/>
    <x v="3"/>
    <x v="4"/>
    <s v="Indore"/>
    <x v="1"/>
    <x v="3"/>
    <s v="Eco Furnishings 897"/>
    <x v="0"/>
    <n v="4"/>
    <n v="697.69"/>
    <n v="-0.23"/>
    <n v="2790.76"/>
    <n v="2037.71"/>
    <n v="753.05"/>
    <x v="0"/>
    <x v="0"/>
    <s v="January"/>
    <s v="OK"/>
    <s v="Negative Discount"/>
    <n v="-0.23"/>
    <n v="1"/>
    <n v="1394.9248000000002"/>
    <n v="3432.6348000000003"/>
    <n v="6"/>
    <s v="West"/>
    <s v="ivalid"/>
    <s v="Second Class"/>
  </r>
  <r>
    <s v="Ord-2025-10023"/>
    <x v="22"/>
    <d v="2025-01-21T00:00:00"/>
    <s v="Cust-3588"/>
    <s v="Mira Das"/>
    <x v="0"/>
    <x v="2"/>
    <x v="2"/>
    <s v="Hyderabad"/>
    <x v="0"/>
    <x v="9"/>
    <s v="Max Binders 355"/>
    <x v="3"/>
    <n v="8"/>
    <n v="1219.3399999999999"/>
    <n v="0.15"/>
    <n v="8291.51"/>
    <n v="6685.03"/>
    <n v="1606.48"/>
    <x v="3"/>
    <x v="2"/>
    <s v="January"/>
    <s v="OK"/>
    <s v="OK"/>
    <n v="0.15"/>
    <n v="1"/>
    <n v="1606.4819999999991"/>
    <n v="8291.5119999999988"/>
    <n v="2"/>
    <s v="South"/>
    <s v="Clean"/>
    <s v="Standard Class"/>
  </r>
  <r>
    <s v="Ord-2025-10024"/>
    <x v="4"/>
    <d v="2025-08-31T00:00:00"/>
    <s v="Cust-7098"/>
    <s v="Rahul Verma"/>
    <x v="3"/>
    <x v="1"/>
    <x v="9"/>
    <s v="Patna"/>
    <x v="1"/>
    <x v="10"/>
    <s v="Pro Bookcases 394"/>
    <x v="2"/>
    <n v="4"/>
    <n v="1958.01"/>
    <n v="0.2"/>
    <n v="6265.63"/>
    <n v="4321.8599999999997"/>
    <n v="1943.77"/>
    <x v="0"/>
    <x v="0"/>
    <s v="August"/>
    <s v="OK"/>
    <s v="OK"/>
    <n v="0.2"/>
    <n v="1"/>
    <n v="1943.7720000000008"/>
    <n v="6265.6320000000005"/>
    <n v="2"/>
    <s v="East"/>
    <s v="Clean"/>
    <s v="First Class"/>
  </r>
  <r>
    <s v="Ord-2024-10025"/>
    <x v="23"/>
    <d v="2024-01-03T00:00:00"/>
    <s v="Cust-1747"/>
    <s v="Diya Patel"/>
    <x v="0"/>
    <x v="0"/>
    <x v="7"/>
    <s v="Ludhiana"/>
    <x v="0"/>
    <x v="2"/>
    <s v="Max Art 215"/>
    <x v="3"/>
    <n v="4"/>
    <n v="4492.9399999999996"/>
    <n v="0.25"/>
    <n v="13478.82"/>
    <n v="10937.35"/>
    <n v="2541.4699999999998"/>
    <x v="2"/>
    <x v="1"/>
    <s v="January"/>
    <s v="Invalid"/>
    <s v="OK"/>
    <n v="0.25"/>
    <n v="1"/>
    <n v="2541.4699999999993"/>
    <n v="13478.82"/>
    <n v="-91"/>
    <s v="North"/>
    <s v="ivalid"/>
    <s v="Standard Class"/>
  </r>
  <r>
    <s v="Ord-2024-10026"/>
    <x v="24"/>
    <d v="2024-10-19T00:00:00"/>
    <s v="Cust-1731"/>
    <s v="Arjun Bose"/>
    <x v="2"/>
    <x v="1"/>
    <x v="10"/>
    <s v="Guwahati"/>
    <x v="2"/>
    <x v="5"/>
    <s v="Classic Accessories 478"/>
    <x v="2"/>
    <n v="2"/>
    <n v="4315.2"/>
    <n v="0.15"/>
    <n v="7335.84"/>
    <n v="4968.41"/>
    <n v="2367.4299999999998"/>
    <x v="0"/>
    <x v="0"/>
    <s v="October"/>
    <s v="OK"/>
    <s v="OK"/>
    <n v="0.15"/>
    <n v="1"/>
    <n v="2367.4299999999994"/>
    <n v="7335.8399999999992"/>
    <n v="8"/>
    <s v="East"/>
    <s v="Clean"/>
    <s v="First Class"/>
  </r>
  <r>
    <s v="Ord-2024-10027"/>
    <x v="25"/>
    <d v="2024-11-23T00:00:00"/>
    <s v="Cust-4401"/>
    <s v="Diya Patel"/>
    <x v="2"/>
    <x v="0"/>
    <x v="8"/>
    <s v="Noida"/>
    <x v="2"/>
    <x v="11"/>
    <s v="Pro Phones 243"/>
    <x v="3"/>
    <n v="4"/>
    <n v="716.13"/>
    <n v="0.1"/>
    <n v="2578.0700000000002"/>
    <n v="1527.55"/>
    <n v="1050.52"/>
    <x v="0"/>
    <x v="2"/>
    <s v="November"/>
    <s v="Invalid"/>
    <s v="OK"/>
    <n v="0.1"/>
    <n v="1"/>
    <n v="1050.5180000000003"/>
    <n v="2578.0680000000002"/>
    <n v="0"/>
    <s v="North"/>
    <s v="Clean"/>
    <s v="Standard Class"/>
  </r>
  <r>
    <s v="Ord-2025-10028"/>
    <x v="26"/>
    <d v="2025-10-05T00:00:00"/>
    <s v="Cust-9875"/>
    <s v="Arjun Bose"/>
    <x v="1"/>
    <x v="2"/>
    <x v="11"/>
    <s v="Bengaluru"/>
    <x v="0"/>
    <x v="0"/>
    <s v="Basic Paper 613"/>
    <x v="0"/>
    <n v="5"/>
    <n v="1806.51"/>
    <n v="0.25"/>
    <n v="6774.41"/>
    <n v="4710.3599999999997"/>
    <n v="2064.0500000000002"/>
    <x v="3"/>
    <x v="2"/>
    <s v="October"/>
    <s v="OK"/>
    <s v="OK"/>
    <n v="0.25"/>
    <n v="1"/>
    <n v="2064.0524999999998"/>
    <n v="6774.4124999999995"/>
    <n v="6"/>
    <s v="South"/>
    <s v="Clean"/>
    <s v="Second Class"/>
  </r>
  <r>
    <s v="Ord-2024-10029"/>
    <x v="24"/>
    <d v="2024-10-18T00:00:00"/>
    <s v="Cust-1569"/>
    <s v="Ananya Rao"/>
    <x v="3"/>
    <x v="3"/>
    <x v="12"/>
    <s v="Ahmedabad"/>
    <x v="2"/>
    <x v="11"/>
    <s v="Prime Phones 698"/>
    <x v="0"/>
    <n v="2"/>
    <n v="1942.22"/>
    <n v="0.25"/>
    <n v="2913.33"/>
    <n v="2122.33"/>
    <n v="791"/>
    <x v="1"/>
    <x v="1"/>
    <s v="October"/>
    <s v="OK"/>
    <s v="OK"/>
    <n v="0.25"/>
    <n v="1"/>
    <n v="791"/>
    <n v="2913.33"/>
    <n v="7"/>
    <s v="West"/>
    <s v="Clean"/>
    <s v="Second Class"/>
  </r>
  <r>
    <s v="Ord-2025-10030"/>
    <x v="27"/>
    <d v="2025-08-13T00:00:00"/>
    <s v="Cust-5936"/>
    <s v="Rohan Mehta"/>
    <x v="3"/>
    <x v="2"/>
    <x v="13"/>
    <s v="Kochi"/>
    <x v="2"/>
    <x v="11"/>
    <s v="Pro Phones 442"/>
    <x v="3"/>
    <n v="1"/>
    <n v="256.01"/>
    <n v="0.15"/>
    <n v="217.61"/>
    <n v="119.77"/>
    <n v="97.84"/>
    <x v="0"/>
    <x v="0"/>
    <s v="August"/>
    <s v="Invalid"/>
    <s v="OK"/>
    <n v="0.15"/>
    <n v="1"/>
    <n v="97.838499999999996"/>
    <n v="217.60849999999999"/>
    <n v="0"/>
    <s v="South"/>
    <s v="Clean"/>
    <s v="Standard Class"/>
  </r>
  <r>
    <s v="Ord-2024-10031"/>
    <x v="28"/>
    <d v="2024-12-02T00:00:00"/>
    <s v="Cust-8759"/>
    <s v="Ananya Rao"/>
    <x v="2"/>
    <x v="3"/>
    <x v="14"/>
    <s v="Panaji"/>
    <x v="0"/>
    <x v="7"/>
    <s v="Pro Labels 355"/>
    <x v="2"/>
    <n v="1"/>
    <n v="3421.77"/>
    <n v="0.1"/>
    <n v="3079.59"/>
    <n v="2001.89"/>
    <n v="1077.7"/>
    <x v="0"/>
    <x v="0"/>
    <s v="December"/>
    <s v="OK"/>
    <s v="OK"/>
    <n v="0.1"/>
    <n v="1"/>
    <n v="1077.7029999999997"/>
    <n v="3079.5929999999998"/>
    <n v="91"/>
    <s v="West"/>
    <s v="Clean"/>
    <s v="First Class"/>
  </r>
  <r>
    <s v="Ord-2025-10032"/>
    <x v="29"/>
    <d v="2025-06-19T00:00:00"/>
    <s v="Cust-7867"/>
    <s v="Karan Malhotra"/>
    <x v="1"/>
    <x v="3"/>
    <x v="4"/>
    <s v="Indore"/>
    <x v="0"/>
    <x v="0"/>
    <s v="Pro Paper 959"/>
    <x v="0"/>
    <n v="9"/>
    <n v="3092.55"/>
    <n v="0"/>
    <n v="27832.95"/>
    <n v="17769.75"/>
    <n v="10063.200000000001"/>
    <x v="3"/>
    <x v="2"/>
    <s v="June"/>
    <s v="OK"/>
    <s v="OK"/>
    <n v="0"/>
    <n v="1"/>
    <n v="10063.200000000001"/>
    <n v="27832.95"/>
    <n v="4"/>
    <s v="West"/>
    <s v="Clean"/>
    <s v="Second Class"/>
  </r>
  <r>
    <s v="Ord-2024-10033"/>
    <x v="30"/>
    <d v="2024-11-26T00:00:00"/>
    <s v="Cust-6509"/>
    <s v="Aarav Sharma"/>
    <x v="2"/>
    <x v="2"/>
    <x v="5"/>
    <s v="Vijayawada"/>
    <x v="2"/>
    <x v="11"/>
    <s v="Basic Phones 242"/>
    <x v="0"/>
    <n v="3"/>
    <n v="4001.25"/>
    <m/>
    <n v="9002.81"/>
    <n v="7529.92"/>
    <n v="1472.89"/>
    <x v="0"/>
    <x v="0"/>
    <s v="November"/>
    <s v="OK"/>
    <s v="OK"/>
    <n v="0"/>
    <n v="1"/>
    <n v="4473.83"/>
    <n v="12003.75"/>
    <n v="4"/>
    <s v="South"/>
    <s v="Clean"/>
    <s v="Second Class"/>
  </r>
  <r>
    <s v="Ord-2024-10034"/>
    <x v="11"/>
    <d v="2024-07-27T00:00:00"/>
    <s v="Cust-6660"/>
    <s v="Priya Menon"/>
    <x v="3"/>
    <x v="3"/>
    <x v="14"/>
    <s v="Panaji"/>
    <x v="1"/>
    <x v="1"/>
    <s v="Max Tables 836"/>
    <x v="1"/>
    <n v="7"/>
    <n v="492.41"/>
    <n v="0.25"/>
    <n v="2585.15"/>
    <n v="2070.73"/>
    <n v="514.41999999999996"/>
    <x v="0"/>
    <x v="0"/>
    <s v="July"/>
    <s v="OK"/>
    <s v="OK"/>
    <n v="0.25"/>
    <n v="1"/>
    <n v="514.42250000000013"/>
    <n v="2585.1525000000001"/>
    <n v="5"/>
    <s v="West"/>
    <s v="Clean"/>
    <s v="Same Day"/>
  </r>
  <r>
    <s v="Ord-2025-10035"/>
    <x v="31"/>
    <d v="2025-02-05T00:00:00"/>
    <s v="Cust-2392"/>
    <s v="Priya Menon"/>
    <x v="3"/>
    <x v="1"/>
    <x v="6"/>
    <s v="Kolkata"/>
    <x v="1"/>
    <x v="4"/>
    <s v="Elite Chairs 862"/>
    <x v="4"/>
    <n v="2"/>
    <n v="4159.6899999999996"/>
    <n v="0.2"/>
    <n v="6655.5"/>
    <n v="4340.21"/>
    <n v="2607.3200000000002"/>
    <x v="0"/>
    <x v="0"/>
    <s v="February"/>
    <s v="OK"/>
    <s v="OK"/>
    <n v="0.2"/>
    <n v="1"/>
    <n v="2315.2939999999999"/>
    <n v="6655.5039999999999"/>
    <n v="5"/>
    <s v="East"/>
    <s v="Clean"/>
    <s v="Unknown"/>
  </r>
  <r>
    <s v="Ord-2024-10036"/>
    <x v="32"/>
    <d v="2024-05-29T00:00:00"/>
    <s v="Cust-1611"/>
    <s v="Sneha Kapoor"/>
    <x v="1"/>
    <x v="3"/>
    <x v="12"/>
    <s v="Ahmedabad"/>
    <x v="1"/>
    <x v="10"/>
    <s v="Prime Bookcases 414"/>
    <x v="0"/>
    <n v="8"/>
    <n v="2507.12"/>
    <n v="0.05"/>
    <n v="19054.11"/>
    <n v="15313.83"/>
    <n v="3740.28"/>
    <x v="2"/>
    <x v="2"/>
    <s v="May"/>
    <s v="Invalid"/>
    <s v="OK"/>
    <n v="0.05"/>
    <n v="1"/>
    <n v="3740.2819999999974"/>
    <n v="19054.111999999997"/>
    <n v="0"/>
    <s v="West"/>
    <s v="Clean"/>
    <s v="Second Class"/>
  </r>
  <r>
    <s v="Ord-2024-10037"/>
    <x v="33"/>
    <d v="2024-10-28T00:00:00"/>
    <s v="Cust-8296"/>
    <s v="Rohan Mehta"/>
    <x v="2"/>
    <x v="3"/>
    <x v="3"/>
    <s v="Mumbai"/>
    <x v="1"/>
    <x v="10"/>
    <s v="Eco Bookcases 220"/>
    <x v="0"/>
    <n v="3"/>
    <n v="3126.47"/>
    <n v="0"/>
    <n v="9379.41"/>
    <n v="6670.85"/>
    <n v="2708.56"/>
    <x v="0"/>
    <x v="2"/>
    <s v="October"/>
    <s v="OK"/>
    <s v="OK"/>
    <n v="0"/>
    <n v="1"/>
    <n v="2708.5599999999995"/>
    <n v="9379.41"/>
    <n v="3"/>
    <s v="West"/>
    <s v="Clean"/>
    <s v="Second Class"/>
  </r>
  <r>
    <s v="Ord-2025-10038"/>
    <x v="34"/>
    <d v="2025-07-29T00:00:00"/>
    <s v="Cust-4646"/>
    <s v="Diya Patel"/>
    <x v="0"/>
    <x v="3"/>
    <x v="3"/>
    <s v="Mumbai"/>
    <x v="2"/>
    <x v="6"/>
    <s v="Pro Copiers 830"/>
    <x v="3"/>
    <n v="4"/>
    <n v="1327.54"/>
    <n v="0.2"/>
    <n v="4248.13"/>
    <n v="3321.09"/>
    <n v="927.04"/>
    <x v="0"/>
    <x v="0"/>
    <s v="July"/>
    <s v="Invalid"/>
    <s v="OK"/>
    <n v="0.2"/>
    <n v="1"/>
    <n v="927.03799999999956"/>
    <n v="4248.1279999999997"/>
    <n v="0"/>
    <s v="West"/>
    <s v="Clean"/>
    <s v="Standard Class"/>
  </r>
  <r>
    <s v="Ord-2024-10039"/>
    <x v="35"/>
    <d v="2024-06-22T00:00:00"/>
    <s v="Cust-8235"/>
    <s v="Aarav Sharma"/>
    <x v="2"/>
    <x v="3"/>
    <x v="12"/>
    <s v="Ahmedabad"/>
    <x v="2"/>
    <x v="11"/>
    <s v="Prime Phones 507"/>
    <x v="2"/>
    <n v="7"/>
    <n v="2210.6799999999998"/>
    <n v="0.1"/>
    <n v="13927.28"/>
    <n v="10504.87"/>
    <n v="3422.41"/>
    <x v="0"/>
    <x v="0"/>
    <s v="June"/>
    <s v="OK"/>
    <s v="OK"/>
    <n v="0.1"/>
    <n v="1"/>
    <n v="3422.4139999999989"/>
    <n v="13927.284"/>
    <n v="5"/>
    <s v="West"/>
    <s v="Clean"/>
    <s v="First Class"/>
  </r>
  <r>
    <s v="Ord-2024-10040"/>
    <x v="36"/>
    <d v="2024-12-11T00:00:00"/>
    <s v="Cust-5830"/>
    <s v="Mira Das"/>
    <x v="1"/>
    <x v="3"/>
    <x v="4"/>
    <s v="Indore"/>
    <x v="2"/>
    <x v="6"/>
    <s v="Classic Copiers 590"/>
    <x v="2"/>
    <n v="4"/>
    <n v="1370.92"/>
    <n v="0.1"/>
    <n v="4935.3100000000004"/>
    <n v="3374.77"/>
    <n v="1560.54"/>
    <x v="2"/>
    <x v="2"/>
    <s v="December"/>
    <s v="OK"/>
    <s v="OK"/>
    <n v="0.1"/>
    <n v="1"/>
    <n v="1560.5420000000008"/>
    <n v="4935.3120000000008"/>
    <n v="29"/>
    <s v="West"/>
    <s v="Clean"/>
    <s v="First Class"/>
  </r>
  <r>
    <s v="Ord-2024-10041"/>
    <x v="37"/>
    <d v="2024-10-16T00:00:00"/>
    <s v="Cust-7178"/>
    <s v="Isha Nair"/>
    <x v="3"/>
    <x v="3"/>
    <x v="0"/>
    <s v="Udaipur"/>
    <x v="2"/>
    <x v="6"/>
    <s v="Eco Copiers 865"/>
    <x v="3"/>
    <n v="7"/>
    <n v="2509.27"/>
    <n v="0.2"/>
    <n v="14051.91"/>
    <n v="11990.37"/>
    <n v="2061.54"/>
    <x v="0"/>
    <x v="0"/>
    <s v="October"/>
    <s v="OK"/>
    <s v="OK"/>
    <n v="0.2"/>
    <n v="1"/>
    <n v="2061.5419999999995"/>
    <n v="14051.912"/>
    <n v="6"/>
    <s v="West"/>
    <s v="Clean"/>
    <s v="Standard Class"/>
  </r>
  <r>
    <s v="Ord-2024-10042"/>
    <x v="38"/>
    <d v="2024-03-17T00:00:00"/>
    <s v="Cust-3829"/>
    <s v="Aarav Sharma"/>
    <x v="1"/>
    <x v="1"/>
    <x v="1"/>
    <s v="Bhubaneswar"/>
    <x v="1"/>
    <x v="10"/>
    <s v="Classic Bookcases 835"/>
    <x v="1"/>
    <n v="8"/>
    <n v="855.81"/>
    <n v="0"/>
    <n v="6846.48"/>
    <n v="4239.8900000000003"/>
    <n v="2606.59"/>
    <x v="2"/>
    <x v="1"/>
    <s v="March"/>
    <s v="Invalid"/>
    <s v="OK"/>
    <n v="0"/>
    <n v="1"/>
    <n v="2606.5899999999992"/>
    <n v="6846.48"/>
    <n v="-261"/>
    <s v="East"/>
    <s v="ivalid"/>
    <s v="Same Day"/>
  </r>
  <r>
    <s v="Ord-2025-10043"/>
    <x v="39"/>
    <d v="2025-10-15T00:00:00"/>
    <s v="Cust-6708"/>
    <s v="Arjun Bose"/>
    <x v="2"/>
    <x v="1"/>
    <x v="15"/>
    <s v="Ranchi"/>
    <x v="2"/>
    <x v="11"/>
    <s v="Eco Phones 702"/>
    <x v="3"/>
    <n v="8"/>
    <n v="979.87"/>
    <n v="0.05"/>
    <n v="7447.01"/>
    <n v="4496.22"/>
    <n v="2950.79"/>
    <x v="0"/>
    <x v="0"/>
    <s v="October"/>
    <s v="OK"/>
    <s v="OK"/>
    <n v="0.05"/>
    <n v="1"/>
    <n v="2950.7919999999995"/>
    <n v="7447.0119999999997"/>
    <n v="5"/>
    <s v="East"/>
    <s v="Clean"/>
    <s v="Standard Class"/>
  </r>
  <r>
    <s v="Ord-2024-10044"/>
    <x v="40"/>
    <d v="2024-07-14T00:00:00"/>
    <s v="Cust-7119"/>
    <s v="Priya Menon"/>
    <x v="1"/>
    <x v="1"/>
    <x v="1"/>
    <s v="Bhubaneswar"/>
    <x v="1"/>
    <x v="3"/>
    <s v="Smart Furnishings 956"/>
    <x v="1"/>
    <n v="3"/>
    <n v="1010.23"/>
    <n v="0"/>
    <n v="3030.69"/>
    <n v="1721.08"/>
    <n v="1309.6099999999999"/>
    <x v="0"/>
    <x v="0"/>
    <s v="July"/>
    <s v="Invalid"/>
    <s v="OK"/>
    <n v="0"/>
    <n v="1"/>
    <n v="1309.6100000000001"/>
    <n v="3030.69"/>
    <n v="-24"/>
    <s v="East"/>
    <s v="ivalid"/>
    <s v="Same Day"/>
  </r>
  <r>
    <s v="Ord-2024-10045"/>
    <x v="41"/>
    <d v="2024-06-25T00:00:00"/>
    <s v="Cust-3373"/>
    <s v="Rohan Mehta"/>
    <x v="1"/>
    <x v="0"/>
    <x v="16"/>
    <s v="Gurugram"/>
    <x v="1"/>
    <x v="4"/>
    <s v="Max Chairs 393"/>
    <x v="3"/>
    <n v="9"/>
    <n v="3329.77"/>
    <n v="0.1"/>
    <n v="26971.14"/>
    <n v="17376.2"/>
    <n v="9594.94"/>
    <x v="0"/>
    <x v="0"/>
    <s v="June"/>
    <s v="OK"/>
    <s v="OK"/>
    <n v="0.1"/>
    <n v="1"/>
    <n v="9594.9370000000017"/>
    <n v="26971.137000000002"/>
    <n v="3"/>
    <s v="North"/>
    <s v="Clean"/>
    <s v="Standard Class"/>
  </r>
  <r>
    <s v="Ord-2024-10046"/>
    <x v="42"/>
    <d v="2024-01-24T00:00:00"/>
    <s v="Cust-8896"/>
    <s v="Isha Nair"/>
    <x v="3"/>
    <x v="1"/>
    <x v="9"/>
    <s v="Patna"/>
    <x v="0"/>
    <x v="2"/>
    <s v="Prime Art 221"/>
    <x v="0"/>
    <n v="8"/>
    <n v="3927.82"/>
    <n v="0.05"/>
    <n v="29851.43"/>
    <n v="17487.48"/>
    <n v="12363.95"/>
    <x v="2"/>
    <x v="2"/>
    <s v="January"/>
    <s v="OK"/>
    <s v="OK"/>
    <n v="0.05"/>
    <n v="1"/>
    <n v="12363.952000000001"/>
    <n v="29851.432000000001"/>
    <n v="6"/>
    <s v="East"/>
    <s v="Clean"/>
    <s v="Second Class"/>
  </r>
  <r>
    <s v="Ord-2024-10047"/>
    <x v="43"/>
    <d v="2024-07-19T00:00:00"/>
    <s v="Cust-8517"/>
    <s v="Ananya Rao"/>
    <x v="1"/>
    <x v="2"/>
    <x v="13"/>
    <s v="Kochi"/>
    <x v="1"/>
    <x v="10"/>
    <s v="Elite Bookcases 671"/>
    <x v="3"/>
    <n v="9"/>
    <n v="2386.79"/>
    <n v="0.25"/>
    <n v="16110.83"/>
    <n v="10680.03"/>
    <n v="5430.8"/>
    <x v="1"/>
    <x v="2"/>
    <s v="July"/>
    <s v="Invalid"/>
    <s v="OK"/>
    <n v="0.25"/>
    <n v="1"/>
    <n v="5430.8024999999998"/>
    <n v="16110.8325"/>
    <n v="0"/>
    <s v="South"/>
    <s v="Clean"/>
    <s v="Standard Class"/>
  </r>
  <r>
    <s v="Ord-2024-10048"/>
    <x v="44"/>
    <d v="2024-08-12T00:00:00"/>
    <s v="Cust-1987"/>
    <s v="Rahul Verma"/>
    <x v="2"/>
    <x v="2"/>
    <x v="17"/>
    <s v="Chennai"/>
    <x v="0"/>
    <x v="8"/>
    <s v="Max Storage 432"/>
    <x v="3"/>
    <n v="8"/>
    <n v="2445.31"/>
    <n v="0.1"/>
    <n v="17606.23"/>
    <n v="12438.96"/>
    <n v="5167.2700000000004"/>
    <x v="0"/>
    <x v="0"/>
    <s v="August"/>
    <s v="Invalid"/>
    <s v="OK"/>
    <n v="0.1"/>
    <n v="1"/>
    <n v="5167.2720000000008"/>
    <n v="17606.232"/>
    <n v="0"/>
    <s v="South"/>
    <s v="Clean"/>
    <s v="Standard Class"/>
  </r>
  <r>
    <s v="Ord-2025-10049"/>
    <x v="45"/>
    <d v="2025-02-05T00:00:00"/>
    <s v="Cust-8183"/>
    <s v="Neha Gupta"/>
    <x v="2"/>
    <x v="3"/>
    <x v="3"/>
    <s v="Mumbai"/>
    <x v="1"/>
    <x v="4"/>
    <s v="Basic Chairs 837"/>
    <x v="0"/>
    <n v="7"/>
    <n v="4063.66"/>
    <n v="0"/>
    <n v="28445.62"/>
    <n v="20938.59"/>
    <n v="7507.03"/>
    <x v="0"/>
    <x v="0"/>
    <s v="February"/>
    <s v="OK"/>
    <s v="OK"/>
    <n v="0"/>
    <n v="1"/>
    <n v="7507.0299999999988"/>
    <n v="28445.62"/>
    <n v="6"/>
    <s v="West"/>
    <s v="Clean"/>
    <s v="Second Class"/>
  </r>
  <r>
    <s v="Ord-2024-10050"/>
    <x v="46"/>
    <d v="2024-04-13T00:00:00"/>
    <s v="Cust-2380"/>
    <s v="Aarav Sharma"/>
    <x v="3"/>
    <x v="0"/>
    <x v="8"/>
    <s v="Noida"/>
    <x v="2"/>
    <x v="6"/>
    <s v="Classic Copiers 295"/>
    <x v="0"/>
    <n v="9"/>
    <n v="792.11"/>
    <n v="0.05"/>
    <n v="6772.54"/>
    <n v="5755.46"/>
    <n v="1017.08"/>
    <x v="0"/>
    <x v="0"/>
    <s v="April"/>
    <s v="Invalid"/>
    <s v="OK"/>
    <n v="0.05"/>
    <n v="1"/>
    <n v="1017.0804999999991"/>
    <n v="6772.5404999999992"/>
    <n v="-52"/>
    <s v="North"/>
    <s v="ivalid"/>
    <s v="Second Class"/>
  </r>
  <r>
    <s v="Ord-2025-10051"/>
    <x v="47"/>
    <d v="2025-05-19T00:00:00"/>
    <s v="Cust-8787"/>
    <s v="Sneha Kapoor"/>
    <x v="0"/>
    <x v="1"/>
    <x v="6"/>
    <s v="Kolkata"/>
    <x v="2"/>
    <x v="6"/>
    <s v="Pro Copiers 963"/>
    <x v="3"/>
    <n v="1"/>
    <n v="2382.8000000000002"/>
    <n v="0.15"/>
    <n v="2025.38"/>
    <n v="1140.6500000000001"/>
    <n v="884.73"/>
    <x v="0"/>
    <x v="0"/>
    <s v="May"/>
    <s v="Invalid"/>
    <s v="OK"/>
    <n v="0.15"/>
    <n v="1"/>
    <n v="884.73"/>
    <n v="2025.38"/>
    <n v="-170"/>
    <s v="East"/>
    <s v="ivalid"/>
    <s v="Standard Class"/>
  </r>
  <r>
    <s v="Ord-2024-10052"/>
    <x v="48"/>
    <d v="2024-04-29T00:00:00"/>
    <s v="Cust-3557"/>
    <s v="Ananya Rao"/>
    <x v="2"/>
    <x v="2"/>
    <x v="2"/>
    <s v="Hyderabad"/>
    <x v="0"/>
    <x v="2"/>
    <s v="Pro Art 907"/>
    <x v="3"/>
    <n v="6"/>
    <n v="1528.08"/>
    <n v="0"/>
    <n v="9168.48"/>
    <n v="7439.77"/>
    <n v="1728.71"/>
    <x v="0"/>
    <x v="0"/>
    <s v="April"/>
    <s v="OK"/>
    <s v="OK"/>
    <n v="0"/>
    <n v="1"/>
    <n v="1728.7099999999991"/>
    <n v="9168.48"/>
    <n v="5"/>
    <s v="South"/>
    <s v="Clean"/>
    <s v="Standard Class"/>
  </r>
  <r>
    <s v="Ord-2024-10053"/>
    <x v="49"/>
    <d v="2024-10-28T00:00:00"/>
    <s v="Cust-2778"/>
    <s v="Kabir Singh"/>
    <x v="1"/>
    <x v="0"/>
    <x v="0"/>
    <s v="Jaipur"/>
    <x v="1"/>
    <x v="4"/>
    <s v="Pro Chairs 526"/>
    <x v="2"/>
    <n v="9"/>
    <n v="1399.63"/>
    <n v="0"/>
    <n v="12596.67"/>
    <n v="10603.29"/>
    <n v="1993.38"/>
    <x v="3"/>
    <x v="1"/>
    <s v="October"/>
    <s v="OK"/>
    <s v="OK"/>
    <n v="0"/>
    <n v="1"/>
    <n v="1993.380000000001"/>
    <n v="12596.670000000002"/>
    <n v="2"/>
    <s v="North"/>
    <s v="Clean"/>
    <s v="First Class"/>
  </r>
  <r>
    <s v="Ord-2025-10054"/>
    <x v="50"/>
    <d v="2025-03-31T00:00:00"/>
    <s v="Cust-7195"/>
    <s v="Kabir Singh"/>
    <x v="3"/>
    <x v="3"/>
    <x v="12"/>
    <s v="Ahmedabad"/>
    <x v="0"/>
    <x v="8"/>
    <s v="Elite Storage 924"/>
    <x v="2"/>
    <n v="5"/>
    <n v="1207.47"/>
    <n v="0.15"/>
    <n v="5131.75"/>
    <n v="2838.68"/>
    <n v="2293.0700000000002"/>
    <x v="0"/>
    <x v="0"/>
    <s v="March"/>
    <s v="Invalid"/>
    <s v="OK"/>
    <n v="0.15"/>
    <n v="1"/>
    <n v="2293.0675000000006"/>
    <n v="5131.7475000000004"/>
    <n v="0"/>
    <s v="West"/>
    <s v="Clean"/>
    <s v="First Class"/>
  </r>
  <r>
    <s v="Ord-2025-10055"/>
    <x v="51"/>
    <d v="2025-06-02T00:00:00"/>
    <s v="Cust-9039"/>
    <s v="Arjun Bose"/>
    <x v="2"/>
    <x v="2"/>
    <x v="17"/>
    <s v="Chennai"/>
    <x v="0"/>
    <x v="7"/>
    <s v="Pro Labels 957"/>
    <x v="1"/>
    <n v="8"/>
    <n v="474.37"/>
    <n v="0.1"/>
    <n v="3415.46"/>
    <n v="1993.23"/>
    <n v="1422.23"/>
    <x v="3"/>
    <x v="1"/>
    <s v="June"/>
    <s v="OK"/>
    <s v="OK"/>
    <n v="0.1"/>
    <n v="1"/>
    <n v="1422.2339999999999"/>
    <n v="3415.4639999999999"/>
    <n v="3"/>
    <s v="South"/>
    <s v="Clean"/>
    <s v="Same Day"/>
  </r>
  <r>
    <s v="Ord-2025-10056"/>
    <x v="52"/>
    <d v="2025-07-03T00:00:00"/>
    <s v="Cust-9821"/>
    <s v="Mira Das"/>
    <x v="1"/>
    <x v="2"/>
    <x v="5"/>
    <s v="Vijayawada"/>
    <x v="2"/>
    <x v="12"/>
    <s v="Classic Machines 310"/>
    <x v="1"/>
    <n v="3"/>
    <n v="1516.24"/>
    <n v="0.25"/>
    <n v="3411.54"/>
    <n v="2803.13"/>
    <n v="608.41"/>
    <x v="0"/>
    <x v="0"/>
    <s v="July"/>
    <s v="OK"/>
    <s v="OK"/>
    <n v="0.25"/>
    <n v="1"/>
    <n v="608.40999999999985"/>
    <n v="3411.54"/>
    <n v="2"/>
    <s v="South"/>
    <s v="Clean"/>
    <s v="Same Day"/>
  </r>
  <r>
    <s v="Ord-2025-10057"/>
    <x v="53"/>
    <d v="2025-01-06T00:00:00"/>
    <s v="Cust-8701"/>
    <s v="Karan Malhotra"/>
    <x v="0"/>
    <x v="2"/>
    <x v="11"/>
    <s v="Bengaluru"/>
    <x v="0"/>
    <x v="9"/>
    <s v="Smart Binders 393"/>
    <x v="0"/>
    <n v="3"/>
    <n v="3155.61"/>
    <n v="0"/>
    <n v="9466.83"/>
    <n v="6557.83"/>
    <n v="2909"/>
    <x v="1"/>
    <x v="1"/>
    <s v="January"/>
    <s v="Invalid"/>
    <s v="OK"/>
    <n v="0"/>
    <n v="1"/>
    <n v="2909"/>
    <n v="9466.83"/>
    <n v="-115"/>
    <s v="South"/>
    <s v="ivalid"/>
    <s v="Second Class"/>
  </r>
  <r>
    <s v="Ord-2024-10058"/>
    <x v="54"/>
    <d v="2024-02-15T00:00:00"/>
    <s v="Cust-9941"/>
    <s v="Priya Menon"/>
    <x v="0"/>
    <x v="3"/>
    <x v="14"/>
    <s v="Panaji"/>
    <x v="1"/>
    <x v="4"/>
    <s v="Max Chairs 813"/>
    <x v="1"/>
    <n v="5"/>
    <n v="255.87"/>
    <n v="0"/>
    <n v="1279.3499999999999"/>
    <n v="1091.54"/>
    <n v="187.81"/>
    <x v="0"/>
    <x v="0"/>
    <s v="February"/>
    <s v="Invalid"/>
    <s v="OK"/>
    <n v="0"/>
    <n v="1"/>
    <n v="187.80999999999995"/>
    <n v="1279.3499999999999"/>
    <n v="-138"/>
    <s v="West"/>
    <s v="ivalid"/>
    <s v="Same Day"/>
  </r>
  <r>
    <s v="Ord-2024-10059"/>
    <x v="55"/>
    <d v="2024-09-07T00:00:00"/>
    <s v="Cust-3983"/>
    <s v="Isha Nair"/>
    <x v="3"/>
    <x v="0"/>
    <x v="0"/>
    <s v="Jaipur"/>
    <x v="0"/>
    <x v="8"/>
    <s v="Basic Storage 872"/>
    <x v="4"/>
    <n v="9"/>
    <n v="1389.48"/>
    <n v="0.1"/>
    <n v="11254.79"/>
    <n v="6578.06"/>
    <n v="4676.7299999999996"/>
    <x v="2"/>
    <x v="2"/>
    <s v="September"/>
    <s v="OK"/>
    <s v="OK"/>
    <n v="0.1"/>
    <n v="1"/>
    <n v="4676.7280000000001"/>
    <n v="11254.788"/>
    <n v="242"/>
    <s v="North"/>
    <s v="Clean"/>
    <s v="Unknown"/>
  </r>
  <r>
    <s v="Ord-2024-10060"/>
    <x v="56"/>
    <d v="2024-07-25T00:00:00"/>
    <s v="Cust-2418"/>
    <s v="Priya Menon"/>
    <x v="2"/>
    <x v="1"/>
    <x v="10"/>
    <s v="Guwahati"/>
    <x v="0"/>
    <x v="7"/>
    <s v="Smart Labels 655"/>
    <x v="1"/>
    <n v="5"/>
    <n v="4133.8500000000004"/>
    <n v="0.2"/>
    <n v="16535.400000000001"/>
    <n v="12990.21"/>
    <n v="3545.19"/>
    <x v="0"/>
    <x v="1"/>
    <s v="July"/>
    <s v="OK"/>
    <s v="OK"/>
    <n v="0.2"/>
    <n v="1"/>
    <n v="3545.1900000000023"/>
    <n v="16535.400000000001"/>
    <n v="5"/>
    <s v="East"/>
    <s v="Clean"/>
    <s v="Same Day"/>
  </r>
  <r>
    <s v="Ord-2024-10061"/>
    <x v="57"/>
    <d v="2024-07-19T00:00:00"/>
    <s v="Cust-2892"/>
    <s v="Ananya Rao"/>
    <x v="2"/>
    <x v="1"/>
    <x v="10"/>
    <s v="Guwahati"/>
    <x v="0"/>
    <x v="7"/>
    <s v="Eco Labels 210"/>
    <x v="1"/>
    <n v="3"/>
    <n v="275.76"/>
    <n v="0.2"/>
    <n v="661.82"/>
    <n v="481.47"/>
    <n v="180.35"/>
    <x v="1"/>
    <x v="1"/>
    <s v="July"/>
    <s v="OK"/>
    <s v="OK"/>
    <n v="0.2"/>
    <n v="1"/>
    <n v="180.35400000000004"/>
    <n v="661.82400000000007"/>
    <n v="6"/>
    <s v="East"/>
    <s v="Clean"/>
    <s v="Same Day"/>
  </r>
  <r>
    <s v="Ord-2024-10062"/>
    <x v="58"/>
    <d v="2024-04-16T00:00:00"/>
    <s v="Cust-7008"/>
    <s v="Vikram Iyer"/>
    <x v="3"/>
    <x v="1"/>
    <x v="9"/>
    <s v="Patna"/>
    <x v="1"/>
    <x v="10"/>
    <s v="Classic Bookcases 296"/>
    <x v="3"/>
    <n v="1"/>
    <n v="949.59"/>
    <n v="0"/>
    <n v="949.59"/>
    <n v="751.25"/>
    <n v="198.34"/>
    <x v="0"/>
    <x v="0"/>
    <s v="April"/>
    <s v="Invalid"/>
    <s v="OK"/>
    <n v="0"/>
    <n v="1"/>
    <n v="198.34000000000003"/>
    <n v="949.59"/>
    <n v="0"/>
    <s v="East"/>
    <s v="Clean"/>
    <s v="Standard Class"/>
  </r>
  <r>
    <s v="Ord-2024-10063"/>
    <x v="59"/>
    <d v="2024-11-02T00:00:00"/>
    <s v="Cust-4900"/>
    <s v="Sneha Kapoor"/>
    <x v="3"/>
    <x v="0"/>
    <x v="0"/>
    <s v="Jaipur"/>
    <x v="2"/>
    <x v="11"/>
    <s v="Basic Phones 230"/>
    <x v="3"/>
    <n v="9"/>
    <n v="3042.29"/>
    <n v="0.2"/>
    <n v="21904.49"/>
    <n v="13570.55"/>
    <n v="8333.94"/>
    <x v="0"/>
    <x v="0"/>
    <s v="November"/>
    <s v="OK"/>
    <s v="OK"/>
    <n v="0.2"/>
    <n v="1"/>
    <n v="8333.9380000000019"/>
    <n v="21904.488000000001"/>
    <n v="3"/>
    <s v="North"/>
    <s v="Clean"/>
    <s v="Standard Class"/>
  </r>
  <r>
    <s v="Ord-2024-10064"/>
    <x v="60"/>
    <d v="2024-02-01T00:00:00"/>
    <s v="Cust-5382"/>
    <s v="Sneha Kapoor"/>
    <x v="3"/>
    <x v="0"/>
    <x v="16"/>
    <s v="Gurugram"/>
    <x v="0"/>
    <x v="9"/>
    <s v="Pro Binders 690"/>
    <x v="1"/>
    <n v="2"/>
    <n v="2832.77"/>
    <n v="0.15"/>
    <n v="4815.71"/>
    <n v="3027.75"/>
    <n v="1917.47"/>
    <x v="0"/>
    <x v="0"/>
    <s v="February"/>
    <s v="OK"/>
    <s v="OK"/>
    <n v="0.15"/>
    <n v="1"/>
    <n v="1787.9589999999998"/>
    <n v="4815.7089999999998"/>
    <n v="7"/>
    <s v="North"/>
    <s v="Clean"/>
    <s v="Same Day"/>
  </r>
  <r>
    <s v="Ord-2024-10065"/>
    <x v="61"/>
    <d v="2024-12-29T00:00:00"/>
    <s v="Cust-2749"/>
    <s v="Aarav Sharma"/>
    <x v="2"/>
    <x v="1"/>
    <x v="15"/>
    <s v="Ranchi"/>
    <x v="0"/>
    <x v="0"/>
    <s v="Classic Paper 458"/>
    <x v="2"/>
    <n v="7"/>
    <n v="447.84"/>
    <n v="0"/>
    <n v="3134.88"/>
    <n v="2367.63"/>
    <n v="767.25"/>
    <x v="1"/>
    <x v="2"/>
    <s v="December"/>
    <s v="OK"/>
    <s v="OK"/>
    <n v="0"/>
    <n v="1"/>
    <n v="767.24999999999955"/>
    <n v="3134.8799999999997"/>
    <n v="6"/>
    <s v="East"/>
    <s v="Clean"/>
    <s v="First Class"/>
  </r>
  <r>
    <s v="Ord-2024-10066"/>
    <x v="62"/>
    <d v="2024-04-27T00:00:00"/>
    <s v="Cust-2463"/>
    <s v="Mira Das"/>
    <x v="3"/>
    <x v="3"/>
    <x v="3"/>
    <s v="Mumbai"/>
    <x v="0"/>
    <x v="0"/>
    <s v="Pro Paper 552"/>
    <x v="0"/>
    <n v="1"/>
    <n v="4280.1899999999996"/>
    <n v="0.05"/>
    <n v="4066.18"/>
    <n v="2628.92"/>
    <n v="1437.26"/>
    <x v="0"/>
    <x v="0"/>
    <s v="April"/>
    <s v="OK"/>
    <s v="OK"/>
    <n v="0.05"/>
    <n v="1"/>
    <n v="1437.2604999999994"/>
    <n v="4066.1804999999995"/>
    <n v="5"/>
    <s v="West"/>
    <s v="Clean"/>
    <s v="Second Class"/>
  </r>
  <r>
    <s v="Ord-2025-10067"/>
    <x v="63"/>
    <d v="2025-09-01T00:00:00"/>
    <s v="Cust-1504"/>
    <s v="Karan Malhotra"/>
    <x v="1"/>
    <x v="2"/>
    <x v="17"/>
    <s v="Chennai"/>
    <x v="2"/>
    <x v="5"/>
    <s v="Elite Accessories 187"/>
    <x v="1"/>
    <n v="7"/>
    <n v="1057.46"/>
    <n v="0.05"/>
    <n v="7032.11"/>
    <n v="4610.34"/>
    <n v="2421.77"/>
    <x v="0"/>
    <x v="0"/>
    <s v="September"/>
    <s v="OK"/>
    <s v="OK"/>
    <n v="0.05"/>
    <n v="1"/>
    <n v="2421.7689999999993"/>
    <n v="7032.1089999999995"/>
    <n v="4"/>
    <s v="South"/>
    <s v="Clean"/>
    <s v="Same Day"/>
  </r>
  <r>
    <s v="Ord-2025-10068"/>
    <x v="64"/>
    <d v="2025-02-07T00:00:00"/>
    <s v="Cust-8282"/>
    <s v="Kabir Singh"/>
    <x v="0"/>
    <x v="0"/>
    <x v="16"/>
    <s v="Gurugram"/>
    <x v="0"/>
    <x v="0"/>
    <s v="Eco Paper 922"/>
    <x v="2"/>
    <n v="7"/>
    <n v="3609.34"/>
    <n v="0.05"/>
    <n v="24002.11"/>
    <n v="18707.57"/>
    <n v="5294.54"/>
    <x v="0"/>
    <x v="0"/>
    <s v="February"/>
    <s v="Invalid"/>
    <s v="OK"/>
    <n v="0.05"/>
    <n v="1"/>
    <n v="5294.5410000000011"/>
    <n v="24002.111000000001"/>
    <n v="-23"/>
    <s v="North"/>
    <s v="ivalid"/>
    <s v="First Class"/>
  </r>
  <r>
    <s v="Ord-2024-10069"/>
    <x v="24"/>
    <d v="2024-11-13T00:00:00"/>
    <s v="Cust-6054"/>
    <s v="Isha Nair"/>
    <x v="2"/>
    <x v="1"/>
    <x v="15"/>
    <s v="Ranchi"/>
    <x v="0"/>
    <x v="8"/>
    <s v="Pro Storage 975"/>
    <x v="0"/>
    <n v="9"/>
    <n v="2211.12"/>
    <n v="0"/>
    <n v="19900.080000000002"/>
    <n v="10962.66"/>
    <n v="8937.42"/>
    <x v="3"/>
    <x v="2"/>
    <s v="November"/>
    <s v="OK"/>
    <s v="OK"/>
    <n v="0"/>
    <n v="1"/>
    <n v="8937.4199999999983"/>
    <n v="19900.079999999998"/>
    <n v="33"/>
    <s v="East"/>
    <s v="Clean"/>
    <s v="Second Class"/>
  </r>
  <r>
    <s v="Ord-2024-10070"/>
    <x v="65"/>
    <d v="2024-04-14T00:00:00"/>
    <s v="Cust-5979"/>
    <s v="Neha Gupta"/>
    <x v="1"/>
    <x v="3"/>
    <x v="12"/>
    <s v="Ahmedabad"/>
    <x v="2"/>
    <x v="12"/>
    <s v="Prime Machines 782"/>
    <x v="1"/>
    <n v="7"/>
    <n v="3417.09"/>
    <n v="0.1"/>
    <n v="21527.67"/>
    <n v="18287.580000000002"/>
    <n v="3240.09"/>
    <x v="1"/>
    <x v="2"/>
    <s v="April"/>
    <s v="Invalid"/>
    <s v="OK"/>
    <n v="0.1"/>
    <n v="1"/>
    <n v="3240.0869999999995"/>
    <n v="21527.667000000001"/>
    <n v="-143"/>
    <s v="West"/>
    <s v="ivalid"/>
    <s v="Same Day"/>
  </r>
  <r>
    <s v="Ord-2025-10071"/>
    <x v="66"/>
    <d v="2025-08-27T00:00:00"/>
    <s v="Cust-5582"/>
    <s v="Karan Malhotra"/>
    <x v="2"/>
    <x v="2"/>
    <x v="5"/>
    <s v="Vijayawada"/>
    <x v="2"/>
    <x v="11"/>
    <s v="Max Phones 661"/>
    <x v="2"/>
    <n v="2"/>
    <n v="905.87"/>
    <n v="0.15"/>
    <n v="1539.98"/>
    <n v="1070.2"/>
    <n v="469.78"/>
    <x v="0"/>
    <x v="0"/>
    <s v="August"/>
    <s v="OK"/>
    <s v="OK"/>
    <n v="0.15"/>
    <n v="1"/>
    <n v="469.779"/>
    <n v="1539.979"/>
    <n v="5"/>
    <s v="South"/>
    <s v="Clean"/>
    <s v="First Class"/>
  </r>
  <r>
    <s v="Ord-2025-10072"/>
    <x v="67"/>
    <d v="2025-04-23T00:00:00"/>
    <s v="Cust-3308"/>
    <s v="Mira Das"/>
    <x v="1"/>
    <x v="3"/>
    <x v="14"/>
    <s v="Panaji"/>
    <x v="2"/>
    <x v="12"/>
    <s v="Elite Machines 836"/>
    <x v="3"/>
    <n v="6"/>
    <n v="2027.32"/>
    <n v="0.1"/>
    <n v="10947.53"/>
    <n v="6447.36"/>
    <n v="4500.17"/>
    <x v="0"/>
    <x v="0"/>
    <s v="April"/>
    <s v="OK"/>
    <s v="OK"/>
    <n v="0.1"/>
    <n v="1"/>
    <n v="4500.1680000000006"/>
    <n v="10947.528"/>
    <n v="7"/>
    <s v="West"/>
    <s v="Clean"/>
    <s v="Standard Class"/>
  </r>
  <r>
    <s v="Ord-2024-10073"/>
    <x v="68"/>
    <d v="2024-02-07T00:00:00"/>
    <s v="Cust-5018"/>
    <s v="Karan Malhotra"/>
    <x v="3"/>
    <x v="2"/>
    <x v="17"/>
    <s v="Chennai"/>
    <x v="1"/>
    <x v="1"/>
    <s v="Prime Tables 902"/>
    <x v="2"/>
    <n v="7"/>
    <n v="2287.4699999999998"/>
    <n v="0.15"/>
    <n v="13610.45"/>
    <n v="10039.049999999999"/>
    <n v="3571.4"/>
    <x v="0"/>
    <x v="0"/>
    <s v="February"/>
    <s v="Invalid"/>
    <s v="OK"/>
    <n v="0.15"/>
    <n v="1"/>
    <n v="3571.3964999999989"/>
    <n v="13610.446499999998"/>
    <n v="-269"/>
    <s v="South"/>
    <s v="ivalid"/>
    <s v="First Class"/>
  </r>
  <r>
    <s v="Ord-2025-10074"/>
    <x v="69"/>
    <d v="2025-03-04T00:00:00"/>
    <s v="Cust-2342"/>
    <s v="Sneha Kapoor"/>
    <x v="2"/>
    <x v="1"/>
    <x v="6"/>
    <s v="Kolkata"/>
    <x v="1"/>
    <x v="10"/>
    <s v="Smart Bookcases 167"/>
    <x v="2"/>
    <n v="5"/>
    <n v="1425.74"/>
    <n v="0"/>
    <n v="7128.7"/>
    <n v="4382.1499999999996"/>
    <n v="2746.55"/>
    <x v="0"/>
    <x v="0"/>
    <s v="March"/>
    <s v="Invalid"/>
    <s v="OK"/>
    <n v="0"/>
    <n v="1"/>
    <n v="2746.55"/>
    <n v="7128.7"/>
    <n v="-25"/>
    <s v="East"/>
    <s v="ivalid"/>
    <s v="First Class"/>
  </r>
  <r>
    <s v="Ord-2025-10075"/>
    <x v="70"/>
    <d v="2025-03-01T00:00:00"/>
    <s v="Cust-6201"/>
    <s v="Vikram Iyer"/>
    <x v="1"/>
    <x v="1"/>
    <x v="6"/>
    <s v="Kolkata"/>
    <x v="1"/>
    <x v="4"/>
    <s v="Max Chairs 244"/>
    <x v="3"/>
    <n v="6"/>
    <n v="551.64"/>
    <n v="0"/>
    <n v="3309.84"/>
    <n v="2671.08"/>
    <n v="638.76"/>
    <x v="0"/>
    <x v="0"/>
    <s v="March"/>
    <s v="OK"/>
    <s v="OK"/>
    <n v="0"/>
    <n v="1"/>
    <n v="638.76000000000022"/>
    <n v="3309.84"/>
    <n v="2"/>
    <s v="East"/>
    <s v="Clean"/>
    <s v="Standard Class"/>
  </r>
  <r>
    <s v="Ord-2025-10076"/>
    <x v="66"/>
    <d v="2025-08-27T00:00:00"/>
    <s v="Cust-5808"/>
    <s v="Priya Menon"/>
    <x v="1"/>
    <x v="1"/>
    <x v="1"/>
    <s v="Bhubaneswar"/>
    <x v="0"/>
    <x v="7"/>
    <s v="Eco Labels 653"/>
    <x v="2"/>
    <n v="3"/>
    <n v="3294.82"/>
    <n v="0.2"/>
    <n v="7907.57"/>
    <n v="5391.18"/>
    <n v="2516.39"/>
    <x v="0"/>
    <x v="0"/>
    <s v="August"/>
    <s v="OK"/>
    <s v="OK"/>
    <n v="0.2"/>
    <n v="1"/>
    <n v="2516.3880000000008"/>
    <n v="7907.5680000000011"/>
    <n v="5"/>
    <s v="East"/>
    <s v="Clean"/>
    <s v="First Class"/>
  </r>
  <r>
    <s v="Ord-2024-10077"/>
    <x v="71"/>
    <d v="2024-11-11T00:00:00"/>
    <s v="Cust-2642"/>
    <s v="Ananya Rao"/>
    <x v="2"/>
    <x v="1"/>
    <x v="15"/>
    <s v="Ranchi"/>
    <x v="0"/>
    <x v="7"/>
    <s v="Max Labels 617"/>
    <x v="0"/>
    <n v="3"/>
    <n v="3406.27"/>
    <n v="0"/>
    <n v="10218.81"/>
    <n v="7616.97"/>
    <n v="2601.84"/>
    <x v="0"/>
    <x v="0"/>
    <s v="November"/>
    <s v="OK"/>
    <s v="OK"/>
    <n v="0"/>
    <n v="1"/>
    <n v="2601.8399999999992"/>
    <n v="10218.81"/>
    <n v="245"/>
    <s v="East"/>
    <s v="Clean"/>
    <s v="Second Class"/>
  </r>
  <r>
    <s v="Ord-2025-10078"/>
    <x v="72"/>
    <d v="2025-07-12T00:00:00"/>
    <s v="Cust-4385"/>
    <s v="Rohan Mehta"/>
    <x v="3"/>
    <x v="0"/>
    <x v="8"/>
    <s v="Noida"/>
    <x v="1"/>
    <x v="3"/>
    <s v="Pro Furnishings 529"/>
    <x v="3"/>
    <n v="1"/>
    <n v="2582.1999999999998"/>
    <n v="0.15"/>
    <n v="2194.87"/>
    <n v="1223.17"/>
    <n v="971.7"/>
    <x v="1"/>
    <x v="1"/>
    <s v="July"/>
    <s v="Invalid"/>
    <s v="OK"/>
    <n v="0.15"/>
    <n v="1"/>
    <n v="971.69999999999982"/>
    <n v="2194.87"/>
    <n v="-26"/>
    <s v="North"/>
    <s v="ivalid"/>
    <s v="Standard Class"/>
  </r>
  <r>
    <s v="Ord-2025-10079"/>
    <x v="73"/>
    <d v="2025-07-21T00:00:00"/>
    <s v="Cust-8043"/>
    <s v="Sneha Kapoor"/>
    <x v="2"/>
    <x v="1"/>
    <x v="6"/>
    <s v="Kolkata"/>
    <x v="1"/>
    <x v="1"/>
    <s v="Smart Tables 561"/>
    <x v="2"/>
    <n v="5"/>
    <n v="2129.5100000000002"/>
    <n v="0.15"/>
    <n v="9050.42"/>
    <n v="6778.85"/>
    <n v="2271.5700000000002"/>
    <x v="0"/>
    <x v="0"/>
    <s v="July"/>
    <s v="OK"/>
    <s v="OK"/>
    <n v="0.15"/>
    <n v="1"/>
    <n v="2271.567500000001"/>
    <n v="9050.4175000000014"/>
    <n v="5"/>
    <s v="East"/>
    <s v="Clean"/>
    <s v="First Class"/>
  </r>
  <r>
    <s v="Ord-2025-10080"/>
    <x v="74"/>
    <d v="2025-10-03T00:00:00"/>
    <s v="Cust-9978"/>
    <s v="Diya Patel"/>
    <x v="3"/>
    <x v="2"/>
    <x v="17"/>
    <s v="Chennai"/>
    <x v="1"/>
    <x v="4"/>
    <s v="Prime Chairs 838"/>
    <x v="1"/>
    <n v="9"/>
    <n v="4131.5200000000004"/>
    <n v="0.1"/>
    <n v="33465.31"/>
    <n v="24781.26"/>
    <n v="8684.0499999999993"/>
    <x v="0"/>
    <x v="0"/>
    <s v="October"/>
    <s v="OK"/>
    <s v="OK"/>
    <n v="0.1"/>
    <n v="1"/>
    <n v="8684.052000000007"/>
    <n v="33465.312000000005"/>
    <n v="6"/>
    <s v="South"/>
    <s v="Clean"/>
    <s v="Same Day"/>
  </r>
  <r>
    <s v="Ord-2024-10081"/>
    <x v="75"/>
    <d v="2024-08-14T00:00:00"/>
    <s v="Cust-2094"/>
    <s v="Aarav Sharma"/>
    <x v="1"/>
    <x v="0"/>
    <x v="18"/>
    <s v="New Delhi"/>
    <x v="0"/>
    <x v="8"/>
    <s v="Elite Storage 371"/>
    <x v="0"/>
    <n v="4"/>
    <n v="1182.32"/>
    <n v="0.1"/>
    <n v="4256.3500000000004"/>
    <n v="2495.33"/>
    <n v="1761.02"/>
    <x v="2"/>
    <x v="2"/>
    <s v="August"/>
    <s v="Invalid"/>
    <s v="OK"/>
    <n v="0.1"/>
    <n v="1"/>
    <n v="1761.0219999999999"/>
    <n v="4256.3519999999999"/>
    <n v="-55"/>
    <s v="North"/>
    <s v="ivalid"/>
    <s v="Second Class"/>
  </r>
  <r>
    <s v="Ord-2025-10082"/>
    <x v="76"/>
    <d v="2025-03-17T00:00:00"/>
    <s v="Cust-7907"/>
    <s v="Karan Malhotra"/>
    <x v="3"/>
    <x v="3"/>
    <x v="14"/>
    <s v="Panaji"/>
    <x v="0"/>
    <x v="7"/>
    <s v="Eco Labels 662"/>
    <x v="1"/>
    <n v="3"/>
    <n v="1841.91"/>
    <n v="0"/>
    <n v="5525.73"/>
    <n v="3093.42"/>
    <n v="2432.31"/>
    <x v="0"/>
    <x v="0"/>
    <s v="March"/>
    <s v="OK"/>
    <s v="OK"/>
    <n v="0"/>
    <n v="1"/>
    <n v="2432.3100000000004"/>
    <n v="5525.7300000000005"/>
    <n v="1"/>
    <s v="West"/>
    <s v="Clean"/>
    <s v="Same Day"/>
  </r>
  <r>
    <s v="Ord-2024-10083"/>
    <x v="77"/>
    <d v="2024-08-04T00:00:00"/>
    <s v="Cust-6516"/>
    <s v="Arjun Bose"/>
    <x v="0"/>
    <x v="0"/>
    <x v="8"/>
    <s v="Noida"/>
    <x v="2"/>
    <x v="6"/>
    <s v="Smart Copiers 702"/>
    <x v="0"/>
    <n v="6"/>
    <n v="1001.73"/>
    <n v="0"/>
    <n v="6010.38"/>
    <n v="3762.85"/>
    <n v="2247.5300000000002"/>
    <x v="3"/>
    <x v="2"/>
    <s v="August"/>
    <s v="OK"/>
    <s v="OK"/>
    <n v="0"/>
    <n v="1"/>
    <n v="2247.5300000000002"/>
    <n v="6010.38"/>
    <n v="149"/>
    <s v="North"/>
    <s v="Clean"/>
    <s v="Second Class"/>
  </r>
  <r>
    <s v="Ord-2024-10084"/>
    <x v="49"/>
    <d v="2024-10-29T00:00:00"/>
    <s v="Cust-4989"/>
    <s v="Aditi Sen"/>
    <x v="3"/>
    <x v="3"/>
    <x v="3"/>
    <s v="Mumbai"/>
    <x v="1"/>
    <x v="1"/>
    <s v="Elite Tables 362"/>
    <x v="0"/>
    <n v="9"/>
    <n v="131.74"/>
    <n v="0.2"/>
    <n v="948.53"/>
    <n v="674.62"/>
    <n v="273.91000000000003"/>
    <x v="0"/>
    <x v="0"/>
    <s v="October"/>
    <s v="OK"/>
    <s v="OK"/>
    <n v="0.2"/>
    <n v="1"/>
    <n v="273.90800000000013"/>
    <n v="948.52800000000013"/>
    <n v="3"/>
    <s v="West"/>
    <s v="Clean"/>
    <s v="Second Class"/>
  </r>
  <r>
    <s v="Ord-2024-10085"/>
    <x v="78"/>
    <d v="2024-10-03T00:00:00"/>
    <s v="Cust-3758"/>
    <s v="Rohan Mehta"/>
    <x v="2"/>
    <x v="2"/>
    <x v="17"/>
    <s v="Chennai"/>
    <x v="2"/>
    <x v="11"/>
    <s v="Elite Phones 781"/>
    <x v="0"/>
    <n v="6"/>
    <n v="570.28"/>
    <n v="0.2"/>
    <n v="2737.34"/>
    <n v="2085.44"/>
    <n v="651.9"/>
    <x v="0"/>
    <x v="0"/>
    <s v="October"/>
    <s v="OK"/>
    <s v="OK"/>
    <n v="0.2"/>
    <n v="1"/>
    <n v="651.904"/>
    <n v="2737.3440000000001"/>
    <n v="267"/>
    <s v="South"/>
    <s v="Clean"/>
    <s v="Second Class"/>
  </r>
  <r>
    <s v="Ord-2024-10086"/>
    <x v="79"/>
    <d v="2024-05-08T00:00:00"/>
    <s v="Cust-6702"/>
    <s v="Kabir Singh"/>
    <x v="2"/>
    <x v="0"/>
    <x v="18"/>
    <s v="New Delhi"/>
    <x v="0"/>
    <x v="9"/>
    <s v="Eco Binders 456"/>
    <x v="3"/>
    <n v="1"/>
    <n v="608.64"/>
    <n v="0"/>
    <n v="608.64"/>
    <n v="343.99"/>
    <n v="264.64999999999998"/>
    <x v="0"/>
    <x v="1"/>
    <s v="May"/>
    <s v="Invalid"/>
    <s v="OK"/>
    <n v="0"/>
    <n v="1"/>
    <n v="264.64999999999998"/>
    <n v="608.64"/>
    <n v="-83"/>
    <s v="North"/>
    <s v="ivalid"/>
    <s v="Standard Class"/>
  </r>
  <r>
    <s v="Ord-2024-10087"/>
    <x v="80"/>
    <d v="2024-07-01T00:00:00"/>
    <s v="Cust-9148"/>
    <s v="Ananya Rao"/>
    <x v="1"/>
    <x v="0"/>
    <x v="18"/>
    <s v="New Delhi"/>
    <x v="2"/>
    <x v="6"/>
    <s v="Basic Copiers 525"/>
    <x v="0"/>
    <n v="3"/>
    <n v="885.28"/>
    <n v="0.1"/>
    <n v="2390.2600000000002"/>
    <n v="1495.94"/>
    <n v="894.32"/>
    <x v="1"/>
    <x v="1"/>
    <s v="July"/>
    <s v="OK"/>
    <s v="OK"/>
    <n v="0.1"/>
    <n v="1"/>
    <n v="894.31600000000026"/>
    <n v="2390.2560000000003"/>
    <n v="176"/>
    <s v="North"/>
    <s v="Clean"/>
    <s v="Second Class"/>
  </r>
  <r>
    <s v="Ord-2024-10088"/>
    <x v="81"/>
    <d v="2024-08-03T00:00:00"/>
    <s v="Cust-5829"/>
    <s v="Vikram Iyer"/>
    <x v="0"/>
    <x v="1"/>
    <x v="10"/>
    <s v="Guwahati"/>
    <x v="0"/>
    <x v="9"/>
    <s v="Eco Binders 258"/>
    <x v="3"/>
    <n v="7"/>
    <n v="3345.22"/>
    <n v="0"/>
    <n v="23416.54"/>
    <n v="15490.89"/>
    <n v="7925.65"/>
    <x v="0"/>
    <x v="0"/>
    <s v="August"/>
    <s v="OK"/>
    <s v="OK"/>
    <n v="0"/>
    <n v="1"/>
    <n v="7925.6499999999978"/>
    <n v="23416.539999999997"/>
    <n v="1"/>
    <s v="East"/>
    <s v="Clean"/>
    <s v="Standard Class"/>
  </r>
  <r>
    <s v="Ord-2024-10089"/>
    <x v="82"/>
    <d v="2024-03-27T00:00:00"/>
    <s v="Cust-6059"/>
    <s v="Rohan Mehta"/>
    <x v="1"/>
    <x v="3"/>
    <x v="3"/>
    <s v="Mumbai"/>
    <x v="1"/>
    <x v="10"/>
    <s v="Max Bookcases 398"/>
    <x v="3"/>
    <n v="2"/>
    <n v="3284.75"/>
    <n v="0.05"/>
    <n v="6241.02"/>
    <n v="5345.88"/>
    <n v="895.14"/>
    <x v="0"/>
    <x v="0"/>
    <s v="March"/>
    <s v="OK"/>
    <s v="OK"/>
    <n v="0.05"/>
    <n v="1"/>
    <n v="895.14499999999953"/>
    <n v="6241.0249999999996"/>
    <n v="3"/>
    <s v="West"/>
    <s v="Clean"/>
    <s v="Standard Class"/>
  </r>
  <r>
    <s v="Ord-2024-10090"/>
    <x v="83"/>
    <d v="2024-09-05T00:00:00"/>
    <s v="Cust-7744"/>
    <s v="Kabir Singh"/>
    <x v="0"/>
    <x v="2"/>
    <x v="5"/>
    <s v="Vijayawada"/>
    <x v="1"/>
    <x v="10"/>
    <s v="Smart Bookcases 857"/>
    <x v="3"/>
    <n v="7"/>
    <n v="3761.09"/>
    <n v="0.2"/>
    <n v="21062.1"/>
    <n v="12057.13"/>
    <n v="9004.9699999999993"/>
    <x v="2"/>
    <x v="1"/>
    <s v="September"/>
    <s v="OK"/>
    <s v="OK"/>
    <n v="0.2"/>
    <n v="1"/>
    <n v="9004.9740000000038"/>
    <n v="21062.104000000003"/>
    <n v="119"/>
    <s v="South"/>
    <s v="Clean"/>
    <s v="Standard Class"/>
  </r>
  <r>
    <s v="Ord-2025-10091"/>
    <x v="84"/>
    <d v="2025-08-29T00:00:00"/>
    <s v="Cust-5909"/>
    <s v="Aarav Sharma"/>
    <x v="1"/>
    <x v="1"/>
    <x v="9"/>
    <s v="Patna"/>
    <x v="2"/>
    <x v="6"/>
    <s v="Smart Copiers 556"/>
    <x v="2"/>
    <n v="3"/>
    <n v="3703.96"/>
    <n v="0.15"/>
    <n v="9445.1"/>
    <n v="5586.28"/>
    <n v="3858.82"/>
    <x v="0"/>
    <x v="0"/>
    <s v="August"/>
    <s v="OK"/>
    <s v="OK"/>
    <n v="0.15"/>
    <n v="2"/>
    <n v="3858.8180000000002"/>
    <n v="9445.098"/>
    <n v="5"/>
    <s v="East"/>
    <s v="Clean"/>
    <s v="First Class"/>
  </r>
  <r>
    <s v="Ord-2025-10092"/>
    <x v="64"/>
    <d v="2025-08-03T00:00:00"/>
    <s v="Cust-6409"/>
    <s v="Sneha Kapoor"/>
    <x v="2"/>
    <x v="3"/>
    <x v="4"/>
    <s v="Indore"/>
    <x v="2"/>
    <x v="6"/>
    <s v="Prime Copiers 575"/>
    <x v="0"/>
    <n v="9"/>
    <n v="269.68"/>
    <n v="0"/>
    <n v="2427.12"/>
    <n v="1538.35"/>
    <n v="804.53"/>
    <x v="0"/>
    <x v="0"/>
    <s v="August"/>
    <s v="OK"/>
    <s v="OK"/>
    <n v="0"/>
    <n v="1"/>
    <n v="888.77"/>
    <n v="2427.12"/>
    <n v="154"/>
    <s v="West"/>
    <s v="Clean"/>
    <s v="Second Class"/>
  </r>
  <r>
    <s v="Ord-2025-10093"/>
    <x v="85"/>
    <d v="2025-01-26T00:00:00"/>
    <s v="Cust-3014"/>
    <s v="Aarav Sharma"/>
    <x v="0"/>
    <x v="3"/>
    <x v="4"/>
    <s v="Indore"/>
    <x v="0"/>
    <x v="0"/>
    <s v="Elite Paper 669"/>
    <x v="3"/>
    <n v="9"/>
    <n v="4458.26"/>
    <n v="0.1"/>
    <n v="36111.910000000003"/>
    <n v="29194.5"/>
    <n v="6917.41"/>
    <x v="0"/>
    <x v="0"/>
    <s v="January"/>
    <s v="OK"/>
    <s v="OK"/>
    <n v="0.1"/>
    <n v="1"/>
    <n v="6917.4060000000027"/>
    <n v="36111.906000000003"/>
    <n v="3"/>
    <s v="West"/>
    <s v="Clean"/>
    <s v="Standard Class"/>
  </r>
  <r>
    <s v="Ord-2024-10094"/>
    <x v="17"/>
    <d v="2024-01-13T00:00:00"/>
    <s v="Cust-6106"/>
    <s v="Rohan Mehta"/>
    <x v="2"/>
    <x v="0"/>
    <x v="8"/>
    <s v="Noida"/>
    <x v="0"/>
    <x v="9"/>
    <s v="Eco Binders 780"/>
    <x v="3"/>
    <n v="7"/>
    <n v="2788.97"/>
    <n v="-0.09"/>
    <n v="19522.79"/>
    <n v="12455.78"/>
    <n v="7067.01"/>
    <x v="0"/>
    <x v="0"/>
    <s v="January"/>
    <s v="Invalid"/>
    <s v="Negative Discount"/>
    <n v="-0.09"/>
    <n v="1"/>
    <n v="8824.0610999999972"/>
    <n v="21279.841099999998"/>
    <n v="-170"/>
    <s v="North"/>
    <s v="ivalid"/>
    <s v="Standard Class"/>
  </r>
  <r>
    <s v="Ord-2024-10095"/>
    <x v="86"/>
    <d v="2024-09-09T00:00:00"/>
    <s v="Cust-1926"/>
    <s v="Diya Patel"/>
    <x v="0"/>
    <x v="0"/>
    <x v="16"/>
    <s v="Gurugram"/>
    <x v="2"/>
    <x v="11"/>
    <s v="Elite Phones 723"/>
    <x v="0"/>
    <n v="7"/>
    <n v="3781.53"/>
    <n v="0"/>
    <n v="26470.71"/>
    <n v="21367.599999999999"/>
    <n v="5103.1099999999997"/>
    <x v="2"/>
    <x v="1"/>
    <s v="September"/>
    <s v="OK"/>
    <s v="OK"/>
    <n v="0"/>
    <n v="1"/>
    <n v="5103.1100000000042"/>
    <n v="26470.710000000003"/>
    <n v="92"/>
    <s v="North"/>
    <s v="Clean"/>
    <s v="Second Class"/>
  </r>
  <r>
    <s v="Ord-2025-10096"/>
    <x v="87"/>
    <d v="2025-10-09T00:00:00"/>
    <s v="Cust-2687"/>
    <s v="Sneha Kapoor"/>
    <x v="2"/>
    <x v="3"/>
    <x v="14"/>
    <s v="Panaji"/>
    <x v="1"/>
    <x v="10"/>
    <s v="Classic Bookcases 988"/>
    <x v="1"/>
    <n v="6"/>
    <n v="1754.13"/>
    <n v="0"/>
    <n v="10524.78"/>
    <n v="8841.0499999999993"/>
    <n v="1683.73"/>
    <x v="0"/>
    <x v="0"/>
    <s v="October"/>
    <s v="OK"/>
    <s v="OK"/>
    <n v="0"/>
    <n v="1"/>
    <n v="1683.7300000000014"/>
    <n v="10524.78"/>
    <n v="34"/>
    <s v="West"/>
    <s v="Clean"/>
    <s v="Same Day"/>
  </r>
  <r>
    <s v="Ord-2024-10097"/>
    <x v="88"/>
    <d v="2024-06-07T00:00:00"/>
    <s v="Cust-7283"/>
    <s v="Rahul Verma"/>
    <x v="3"/>
    <x v="1"/>
    <x v="1"/>
    <s v="Bhubaneswar"/>
    <x v="2"/>
    <x v="6"/>
    <s v="Smart Copiers 547"/>
    <x v="0"/>
    <n v="2"/>
    <n v="2259.2399999999998"/>
    <n v="0.15"/>
    <n v="3840.71"/>
    <n v="2516.29"/>
    <n v="1324.42"/>
    <x v="0"/>
    <x v="0"/>
    <s v="June"/>
    <s v="OK"/>
    <s v="OK"/>
    <n v="0.15"/>
    <n v="1"/>
    <n v="1324.4179999999997"/>
    <n v="3840.7079999999996"/>
    <n v="32"/>
    <s v="East"/>
    <s v="Clean"/>
    <s v="Second Class"/>
  </r>
  <r>
    <s v="Ord-2025-10098"/>
    <x v="89"/>
    <d v="2025-08-11T00:00:00"/>
    <s v="Cust-8111"/>
    <s v="Diya Patel"/>
    <x v="1"/>
    <x v="3"/>
    <x v="12"/>
    <s v="Ahmedabad"/>
    <x v="0"/>
    <x v="8"/>
    <s v="Basic Storage 656"/>
    <x v="1"/>
    <n v="5"/>
    <n v="3602.36"/>
    <n v="0.2"/>
    <n v="14409.44"/>
    <n v="8809.9699999999993"/>
    <n v="5599.47"/>
    <x v="2"/>
    <x v="2"/>
    <s v="August"/>
    <s v="OK"/>
    <s v="OK"/>
    <n v="0.2"/>
    <n v="1"/>
    <n v="5599.4700000000012"/>
    <n v="14409.44"/>
    <n v="3"/>
    <s v="West"/>
    <s v="Clean"/>
    <s v="Same Day"/>
  </r>
  <r>
    <s v="Ord-2024-10099"/>
    <x v="90"/>
    <d v="2024-01-02T00:00:00"/>
    <s v="Cust-5434"/>
    <s v="Rohan Mehta"/>
    <x v="3"/>
    <x v="2"/>
    <x v="13"/>
    <s v="Kochi"/>
    <x v="2"/>
    <x v="6"/>
    <s v="Elite Copiers 785"/>
    <x v="4"/>
    <n v="8"/>
    <n v="2108.9299999999998"/>
    <n v="0.1"/>
    <n v="15184.3"/>
    <n v="11270.74"/>
    <n v="3913.56"/>
    <x v="0"/>
    <x v="0"/>
    <s v="January"/>
    <s v="Invalid"/>
    <s v="OK"/>
    <n v="0.1"/>
    <n v="1"/>
    <n v="3913.5559999999987"/>
    <n v="15184.295999999998"/>
    <n v="-24"/>
    <s v="South"/>
    <s v="ivalid"/>
    <s v="Unknown"/>
  </r>
  <r>
    <s v="Ord-2025-10100"/>
    <x v="91"/>
    <d v="2025-01-11T00:00:00"/>
    <s v="Cust-3865"/>
    <s v="Aditi Sen"/>
    <x v="1"/>
    <x v="3"/>
    <x v="0"/>
    <s v="Udaipur"/>
    <x v="2"/>
    <x v="5"/>
    <s v="Smart Accessories 542"/>
    <x v="1"/>
    <n v="3"/>
    <n v="2165.29"/>
    <n v="0"/>
    <n v="6495.87"/>
    <n v="4700.8900000000003"/>
    <n v="1794.98"/>
    <x v="0"/>
    <x v="0"/>
    <s v="January"/>
    <s v="Invalid"/>
    <s v="OK"/>
    <n v="0"/>
    <n v="1"/>
    <n v="1794.9799999999996"/>
    <n v="6495.87"/>
    <n v="0"/>
    <s v="West"/>
    <s v="Clean"/>
    <s v="Same Day"/>
  </r>
  <r>
    <s v="Ord-2025-10101"/>
    <x v="92"/>
    <d v="2025-09-18T00:00:00"/>
    <s v="Cust-6015"/>
    <s v="Aarav Sharma"/>
    <x v="3"/>
    <x v="2"/>
    <x v="13"/>
    <s v="Kochi"/>
    <x v="0"/>
    <x v="8"/>
    <s v="Eco Storage 936"/>
    <x v="3"/>
    <n v="6"/>
    <n v="1673.8"/>
    <n v="0.05"/>
    <n v="9540.66"/>
    <n v="5561.49"/>
    <n v="3979.17"/>
    <x v="0"/>
    <x v="0"/>
    <s v="September"/>
    <s v="Invalid"/>
    <s v="OK"/>
    <n v="0.05"/>
    <n v="1"/>
    <n v="3979.1699999999983"/>
    <n v="9540.659999999998"/>
    <n v="-82"/>
    <s v="South"/>
    <s v="ivalid"/>
    <s v="Standard Class"/>
  </r>
  <r>
    <s v="Ord-2024-10102"/>
    <x v="41"/>
    <d v="2024-06-26T00:00:00"/>
    <s v="Cust-7909"/>
    <s v="Rohan Mehta"/>
    <x v="3"/>
    <x v="1"/>
    <x v="9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s v="June"/>
    <s v="OK"/>
    <s v="OK"/>
    <n v="0.25"/>
    <n v="1"/>
    <n v="4432.8100000000013"/>
    <n v="16486.95"/>
    <n v="4"/>
    <s v="East"/>
    <s v="Clean"/>
    <s v="First Class"/>
  </r>
  <r>
    <s v="Ord-2025-10103"/>
    <x v="93"/>
    <d v="2025-07-16T00:00:00"/>
    <s v="Cust-9603"/>
    <s v="Vikram Iyer"/>
    <x v="0"/>
    <x v="2"/>
    <x v="11"/>
    <s v="Bengaluru"/>
    <x v="1"/>
    <x v="4"/>
    <s v="Classic Chairs 604"/>
    <x v="2"/>
    <n v="4"/>
    <n v="2865.71"/>
    <n v="0"/>
    <n v="11462.84"/>
    <n v="8979.7800000000007"/>
    <n v="2483.06"/>
    <x v="1"/>
    <x v="1"/>
    <s v="July"/>
    <s v="Invalid"/>
    <s v="OK"/>
    <n v="0"/>
    <n v="1"/>
    <n v="2483.0599999999995"/>
    <n v="11462.84"/>
    <n v="-144"/>
    <s v="South"/>
    <s v="ivalid"/>
    <s v="First Class"/>
  </r>
  <r>
    <s v="Ord-2025-10104"/>
    <x v="94"/>
    <d v="2025-10-05T00:00:00"/>
    <s v="Cust-6263"/>
    <s v="Kabir Singh"/>
    <x v="2"/>
    <x v="3"/>
    <x v="3"/>
    <s v="Mumbai"/>
    <x v="1"/>
    <x v="1"/>
    <s v="Prime Tables 377"/>
    <x v="2"/>
    <n v="4"/>
    <n v="2440.34"/>
    <n v="0.2"/>
    <n v="7809.09"/>
    <n v="6657.75"/>
    <n v="1151.3399999999999"/>
    <x v="0"/>
    <x v="0"/>
    <s v="October"/>
    <s v="OK"/>
    <s v="OK"/>
    <n v="0.2"/>
    <n v="1"/>
    <n v="1151.3380000000006"/>
    <n v="7809.0880000000006"/>
    <n v="242"/>
    <s v="West"/>
    <s v="Clean"/>
    <s v="First Class"/>
  </r>
  <r>
    <s v="Ord-2025-10105"/>
    <x v="95"/>
    <d v="2025-08-02T00:00:00"/>
    <s v="Cust-1576"/>
    <s v="Ananya Rao"/>
    <x v="0"/>
    <x v="2"/>
    <x v="11"/>
    <s v="Bengaluru"/>
    <x v="0"/>
    <x v="7"/>
    <s v="Prime Labels 807"/>
    <x v="1"/>
    <n v="5"/>
    <n v="2112.54"/>
    <n v="0.25"/>
    <n v="8260.4599999999991"/>
    <n v="5619.95"/>
    <n v="2302.08"/>
    <x v="0"/>
    <x v="1"/>
    <s v="August"/>
    <s v="OK"/>
    <s v="OK"/>
    <n v="0.25"/>
    <n v="1"/>
    <n v="2302.0750000000007"/>
    <n v="7922.0250000000005"/>
    <n v="212"/>
    <s v="South"/>
    <s v="Clean"/>
    <s v="Same Day"/>
  </r>
  <r>
    <s v="Ord-2024-10106"/>
    <x v="96"/>
    <d v="2024-06-29T00:00:00"/>
    <s v="Cust-6540"/>
    <s v="Mira Das"/>
    <x v="3"/>
    <x v="1"/>
    <x v="6"/>
    <s v="Kolkata"/>
    <x v="1"/>
    <x v="1"/>
    <s v="Eco Tables 575"/>
    <x v="0"/>
    <n v="2"/>
    <n v="685"/>
    <n v="0.1"/>
    <n v="1233"/>
    <n v="1006.9"/>
    <n v="226.1"/>
    <x v="0"/>
    <x v="0"/>
    <s v="June"/>
    <s v="OK"/>
    <s v="OK"/>
    <n v="0.1"/>
    <n v="1"/>
    <n v="226.10000000000002"/>
    <n v="1233"/>
    <n v="5"/>
    <s v="East"/>
    <s v="Clean"/>
    <s v="Second Class"/>
  </r>
  <r>
    <s v="Ord-2024-10107"/>
    <x v="97"/>
    <d v="2024-02-28T00:00:00"/>
    <s v="Cust-4008"/>
    <s v="Arjun Bose"/>
    <x v="3"/>
    <x v="1"/>
    <x v="6"/>
    <s v="Kolkata"/>
    <x v="0"/>
    <x v="0"/>
    <s v="Eco Paper 918"/>
    <x v="3"/>
    <n v="2"/>
    <n v="4004.04"/>
    <m/>
    <n v="7207.27"/>
    <n v="5709.39"/>
    <n v="1497.88"/>
    <x v="0"/>
    <x v="1"/>
    <s v="February"/>
    <s v="OK"/>
    <s v="OK"/>
    <n v="0"/>
    <n v="1"/>
    <n v="2298.6899999999996"/>
    <n v="8008.08"/>
    <n v="8"/>
    <s v="East"/>
    <s v="Clean"/>
    <s v="Standard Class"/>
  </r>
  <r>
    <s v="Ord-2024-10108"/>
    <x v="98"/>
    <d v="2024-11-04T00:00:00"/>
    <s v="Cust-6604"/>
    <s v="Rohan Mehta"/>
    <x v="3"/>
    <x v="1"/>
    <x v="6"/>
    <s v="Kolkata"/>
    <x v="1"/>
    <x v="3"/>
    <s v="Prime Furnishings 952"/>
    <x v="2"/>
    <n v="3"/>
    <n v="4302.8900000000003"/>
    <n v="0.05"/>
    <n v="12263.24"/>
    <n v="8925.57"/>
    <n v="3337.67"/>
    <x v="0"/>
    <x v="0"/>
    <s v="November"/>
    <s v="OK"/>
    <s v="OK"/>
    <n v="0.05"/>
    <n v="1"/>
    <n v="3337.6665000000012"/>
    <n v="12263.236500000001"/>
    <n v="6"/>
    <s v="East"/>
    <s v="Clean"/>
    <s v="First Class"/>
  </r>
  <r>
    <s v="Ord-2024-10109"/>
    <x v="99"/>
    <d v="2024-08-23T00:00:00"/>
    <s v="Cust-4337"/>
    <s v="Aditi Sen"/>
    <x v="1"/>
    <x v="1"/>
    <x v="1"/>
    <s v="Bhubaneswar"/>
    <x v="1"/>
    <x v="10"/>
    <s v="Prime Bookcases 631"/>
    <x v="1"/>
    <n v="2"/>
    <n v="537.54"/>
    <n v="0.25"/>
    <n v="806.31"/>
    <n v="498.5"/>
    <n v="307.81"/>
    <x v="0"/>
    <x v="0"/>
    <s v="August"/>
    <s v="OK"/>
    <s v="OK"/>
    <n v="0.25"/>
    <n v="1"/>
    <n v="307.80999999999995"/>
    <n v="806.31"/>
    <n v="8"/>
    <s v="East"/>
    <s v="Clean"/>
    <s v="Same Day"/>
  </r>
  <r>
    <s v="Ord-2025-10110"/>
    <x v="100"/>
    <d v="2025-08-27T00:00:00"/>
    <s v="Cust-3740"/>
    <s v="Sneha Kapoor"/>
    <x v="0"/>
    <x v="0"/>
    <x v="18"/>
    <s v="New Delhi"/>
    <x v="0"/>
    <x v="9"/>
    <s v="Classic Binders 660"/>
    <x v="0"/>
    <n v="1"/>
    <n v="2788.62"/>
    <n v="0.25"/>
    <n v="2091.4699999999998"/>
    <n v="1317.22"/>
    <n v="774.25"/>
    <x v="0"/>
    <x v="0"/>
    <s v="August"/>
    <s v="OK"/>
    <s v="OK"/>
    <n v="0.25"/>
    <n v="1"/>
    <n v="774.24500000000012"/>
    <n v="2091.4650000000001"/>
    <n v="4"/>
    <s v="North"/>
    <s v="Clean"/>
    <s v="Second Class"/>
  </r>
  <r>
    <s v="Ord-2024-10111"/>
    <x v="101"/>
    <d v="2024-10-24T00:00:00"/>
    <s v="Cust-7128"/>
    <s v="Vikram Iyer"/>
    <x v="2"/>
    <x v="2"/>
    <x v="13"/>
    <s v="Kochi"/>
    <x v="0"/>
    <x v="7"/>
    <s v="Pro Labels 255"/>
    <x v="2"/>
    <n v="2"/>
    <n v="2250.4699999999998"/>
    <n v="0"/>
    <n v="4500.9399999999996"/>
    <n v="2607.73"/>
    <n v="1893.21"/>
    <x v="1"/>
    <x v="1"/>
    <s v="October"/>
    <s v="OK"/>
    <s v="OK"/>
    <n v="0"/>
    <n v="1"/>
    <n v="1893.2099999999996"/>
    <n v="4500.9399999999996"/>
    <n v="6"/>
    <s v="South"/>
    <s v="Clean"/>
    <s v="First Class"/>
  </r>
  <r>
    <s v="Ord-2025-10112"/>
    <x v="102"/>
    <d v="2025-06-30T00:00:00"/>
    <s v="Cust-4743"/>
    <s v="Neha Gupta"/>
    <x v="2"/>
    <x v="1"/>
    <x v="9"/>
    <s v="Patna"/>
    <x v="2"/>
    <x v="5"/>
    <s v="Basic Accessories 187"/>
    <x v="2"/>
    <n v="1"/>
    <n v="1708.44"/>
    <n v="0.05"/>
    <n v="1623.02"/>
    <n v="1077.46"/>
    <n v="545.55999999999995"/>
    <x v="2"/>
    <x v="1"/>
    <s v="June"/>
    <s v="OK"/>
    <s v="OK"/>
    <n v="0.05"/>
    <n v="1"/>
    <n v="545.55799999999999"/>
    <n v="1623.018"/>
    <n v="3"/>
    <s v="East"/>
    <s v="Clean"/>
    <s v="First Class"/>
  </r>
  <r>
    <s v="Ord-2024-10113"/>
    <x v="103"/>
    <d v="2024-01-14T00:00:00"/>
    <s v="Cust-5213"/>
    <s v="Sneha Kapoor"/>
    <x v="0"/>
    <x v="4"/>
    <x v="12"/>
    <s v="Ahmedabad"/>
    <x v="2"/>
    <x v="5"/>
    <s v="Max Accessories 451"/>
    <x v="3"/>
    <n v="3"/>
    <n v="3829.48"/>
    <n v="0.05"/>
    <n v="10914.02"/>
    <n v="6548.74"/>
    <n v="4365.28"/>
    <x v="0"/>
    <x v="0"/>
    <s v="January"/>
    <s v="Invalid"/>
    <s v="OK"/>
    <n v="0.05"/>
    <n v="1"/>
    <n v="4365.2780000000002"/>
    <n v="10914.018"/>
    <n v="-261"/>
    <s v="Unknown"/>
    <s v="ivalid"/>
    <s v="Standard Class"/>
  </r>
  <r>
    <s v="Ord-2024-10114"/>
    <x v="104"/>
    <d v="2024-02-12T00:00:00"/>
    <s v="Cust-4989"/>
    <s v="Isha Nair"/>
    <x v="3"/>
    <x v="2"/>
    <x v="17"/>
    <s v="Chennai"/>
    <x v="1"/>
    <x v="1"/>
    <s v="Classic Tables 752"/>
    <x v="3"/>
    <n v="3"/>
    <n v="1089.1500000000001"/>
    <n v="0.25"/>
    <n v="2450.59"/>
    <n v="1639.89"/>
    <n v="810.7"/>
    <x v="0"/>
    <x v="0"/>
    <s v="February"/>
    <s v="Invalid"/>
    <s v="OK"/>
    <n v="0.25"/>
    <n v="1"/>
    <n v="810.69749999999999"/>
    <n v="2450.5875000000001"/>
    <n v="0"/>
    <s v="South"/>
    <s v="Clean"/>
    <s v="Standard Class"/>
  </r>
  <r>
    <s v="Ord-2024-10115"/>
    <x v="105"/>
    <d v="2024-09-30T00:00:00"/>
    <s v="Cust-2927"/>
    <s v="Neha Gupta"/>
    <x v="1"/>
    <x v="0"/>
    <x v="0"/>
    <s v="Jaipur"/>
    <x v="2"/>
    <x v="5"/>
    <s v="Eco Accessories 452"/>
    <x v="0"/>
    <n v="1"/>
    <n v="4388.3999999999996"/>
    <n v="0.1"/>
    <n v="3949.56"/>
    <n v="3186.73"/>
    <n v="762.83"/>
    <x v="2"/>
    <x v="1"/>
    <s v="September"/>
    <s v="OK"/>
    <s v="OK"/>
    <n v="0.1"/>
    <n v="1"/>
    <n v="762.82999999999993"/>
    <n v="3949.56"/>
    <n v="5"/>
    <s v="North"/>
    <s v="Clean"/>
    <s v="Second Class"/>
  </r>
  <r>
    <s v="Ord-2024-10116"/>
    <x v="14"/>
    <d v="2025-01-01T00:00:00"/>
    <s v="Cust-7764"/>
    <s v="Kabir Singh"/>
    <x v="2"/>
    <x v="2"/>
    <x v="17"/>
    <s v="Chennai"/>
    <x v="0"/>
    <x v="9"/>
    <s v="Classic Binders 203"/>
    <x v="1"/>
    <n v="2"/>
    <n v="446.34"/>
    <n v="0.15"/>
    <n v="758.78"/>
    <n v="490.74"/>
    <n v="268.04000000000002"/>
    <x v="0"/>
    <x v="1"/>
    <s v="January"/>
    <s v="OK"/>
    <s v="OK"/>
    <n v="0.15"/>
    <n v="1"/>
    <n v="268.0379999999999"/>
    <n v="758.77799999999991"/>
    <n v="5"/>
    <s v="South"/>
    <s v="Clean"/>
    <s v="Same Day"/>
  </r>
  <r>
    <s v="Ord-2025-10117"/>
    <x v="106"/>
    <d v="2025-02-19T00:00:00"/>
    <s v="Cust-3632"/>
    <s v="Ananya Rao"/>
    <x v="1"/>
    <x v="4"/>
    <x v="4"/>
    <s v="Indore"/>
    <x v="0"/>
    <x v="9"/>
    <s v="Basic Binders 859"/>
    <x v="2"/>
    <n v="9"/>
    <n v="531.99"/>
    <n v="0.25"/>
    <n v="3590.93"/>
    <n v="3061.39"/>
    <n v="529.54"/>
    <x v="3"/>
    <x v="1"/>
    <s v="February"/>
    <s v="OK"/>
    <s v="OK"/>
    <n v="0.25"/>
    <n v="1"/>
    <n v="529.54250000000002"/>
    <n v="3590.9324999999999"/>
    <n v="4"/>
    <s v="Unknown"/>
    <s v="Clean"/>
    <s v="First Class"/>
  </r>
  <r>
    <s v="Ord-2024-10118"/>
    <x v="107"/>
    <d v="2024-02-17T00:00:00"/>
    <s v="Cust-9608"/>
    <s v="Mira Das"/>
    <x v="3"/>
    <x v="2"/>
    <x v="17"/>
    <s v="Chennai"/>
    <x v="2"/>
    <x v="12"/>
    <s v="Elite Machines 705"/>
    <x v="3"/>
    <n v="9"/>
    <n v="3324.55"/>
    <n v="7.0000000000000007E-2"/>
    <n v="25432.81"/>
    <n v="20370.16"/>
    <n v="5062.6499999999996"/>
    <x v="0"/>
    <x v="0"/>
    <s v="February"/>
    <s v="OK"/>
    <s v="OK"/>
    <n v="7.0000000000000007E-2"/>
    <n v="1"/>
    <n v="7456.3234999999986"/>
    <n v="27826.483499999998"/>
    <n v="2"/>
    <s v="South"/>
    <s v="Clean"/>
    <s v="Standard Class"/>
  </r>
  <r>
    <s v="Ord-2024-10119"/>
    <x v="108"/>
    <d v="2024-06-18T00:00:00"/>
    <s v="Cust-9135"/>
    <s v="Vikram Iyer"/>
    <x v="3"/>
    <x v="2"/>
    <x v="5"/>
    <s v="Vijayawada"/>
    <x v="2"/>
    <x v="6"/>
    <s v="Pro Copiers 208"/>
    <x v="1"/>
    <n v="5"/>
    <n v="1580.27"/>
    <n v="0.2"/>
    <n v="6321.08"/>
    <n v="4407.22"/>
    <n v="1913.86"/>
    <x v="0"/>
    <x v="0"/>
    <s v="June"/>
    <s v="Invalid"/>
    <s v="OK"/>
    <n v="0.2"/>
    <n v="1"/>
    <n v="1913.8600000000006"/>
    <n v="6321.0800000000008"/>
    <n v="-110"/>
    <s v="South"/>
    <s v="ivalid"/>
    <s v="Same Day"/>
  </r>
  <r>
    <s v="Ord-2024-10120"/>
    <x v="109"/>
    <d v="2024-06-19T00:00:00"/>
    <s v="Cust-7861"/>
    <s v="Aditi Sen"/>
    <x v="1"/>
    <x v="2"/>
    <x v="13"/>
    <s v="Kochi"/>
    <x v="1"/>
    <x v="4"/>
    <s v="Elite Chairs 921"/>
    <x v="3"/>
    <n v="8"/>
    <n v="314.05"/>
    <n v="0.25"/>
    <n v="1884.3"/>
    <n v="1517.69"/>
    <n v="366.61"/>
    <x v="1"/>
    <x v="2"/>
    <s v="June"/>
    <s v="Invalid"/>
    <s v="OK"/>
    <n v="0.25"/>
    <n v="1"/>
    <n v="366.61000000000013"/>
    <n v="1884.3000000000002"/>
    <n v="-170"/>
    <s v="South"/>
    <s v="ivalid"/>
    <s v="Standard Class"/>
  </r>
  <r>
    <s v="Ord-2024-10121"/>
    <x v="75"/>
    <d v="2024-08-18T00:00:00"/>
    <s v="Cust-6096"/>
    <s v="Sneha Kapoor"/>
    <x v="1"/>
    <x v="1"/>
    <x v="9"/>
    <s v="Patna"/>
    <x v="2"/>
    <x v="11"/>
    <s v="Prime Phones 540"/>
    <x v="3"/>
    <n v="1"/>
    <n v="1823.67"/>
    <n v="0.2"/>
    <n v="1458.94"/>
    <n v="893.2"/>
    <n v="565.74"/>
    <x v="0"/>
    <x v="2"/>
    <s v="August"/>
    <s v="Invalid"/>
    <s v="OK"/>
    <n v="0.2"/>
    <n v="1"/>
    <n v="565.7360000000001"/>
    <n v="1458.9360000000001"/>
    <n v="-51"/>
    <s v="East"/>
    <s v="ivalid"/>
    <s v="Standard Class"/>
  </r>
  <r>
    <s v="Ord-2025-10122"/>
    <x v="66"/>
    <d v="2025-08-26T00:00:00"/>
    <s v="Cust-2044"/>
    <s v="Kabir Singh"/>
    <x v="1"/>
    <x v="2"/>
    <x v="5"/>
    <s v="Vijayawada"/>
    <x v="2"/>
    <x v="12"/>
    <s v="Max Machines 948"/>
    <x v="0"/>
    <n v="5"/>
    <n v="3482.92"/>
    <n v="0"/>
    <n v="17414.599999999999"/>
    <n v="11760.91"/>
    <n v="5653.69"/>
    <x v="1"/>
    <x v="1"/>
    <s v="August"/>
    <s v="OK"/>
    <s v="OK"/>
    <n v="0"/>
    <n v="1"/>
    <n v="5653.6899999999987"/>
    <n v="17414.599999999999"/>
    <n v="4"/>
    <s v="South"/>
    <s v="Clean"/>
    <s v="Second Class"/>
  </r>
  <r>
    <s v="Ord-2024-10123"/>
    <x v="110"/>
    <d v="2024-12-04T00:00:00"/>
    <s v="Cust-1721"/>
    <s v="Ananya Rao"/>
    <x v="1"/>
    <x v="1"/>
    <x v="10"/>
    <s v="Guwahati"/>
    <x v="1"/>
    <x v="4"/>
    <s v="Max Chairs 786"/>
    <x v="0"/>
    <n v="3"/>
    <n v="170.35"/>
    <n v="0"/>
    <n v="511.05"/>
    <n v="367.18"/>
    <n v="143.87"/>
    <x v="0"/>
    <x v="0"/>
    <s v="December"/>
    <s v="OK"/>
    <s v="OK"/>
    <n v="0"/>
    <n v="1"/>
    <n v="143.86999999999995"/>
    <n v="511.04999999999995"/>
    <n v="4"/>
    <s v="East"/>
    <s v="Clean"/>
    <s v="Second Class"/>
  </r>
  <r>
    <s v="Ord-2024-10124"/>
    <x v="5"/>
    <d v="2024-05-25T00:00:00"/>
    <s v="Cust-1007"/>
    <s v="Sneha Kapoor"/>
    <x v="1"/>
    <x v="0"/>
    <x v="7"/>
    <s v="Ludhiana"/>
    <x v="2"/>
    <x v="6"/>
    <s v="Max Copiers 970"/>
    <x v="1"/>
    <n v="1"/>
    <n v="634.13"/>
    <n v="0"/>
    <n v="634.13"/>
    <n v="453.35"/>
    <n v="180.78"/>
    <x v="1"/>
    <x v="1"/>
    <s v="May"/>
    <s v="OK"/>
    <s v="OK"/>
    <n v="0"/>
    <n v="2"/>
    <n v="180.77999999999997"/>
    <n v="634.13"/>
    <n v="1"/>
    <s v="North"/>
    <s v="Clean"/>
    <s v="Same Day"/>
  </r>
  <r>
    <s v="Ord-2024-10125"/>
    <x v="0"/>
    <d v="2024-07-24T00:00:00"/>
    <s v="Cust-4450"/>
    <s v="Isha Nair"/>
    <x v="2"/>
    <x v="2"/>
    <x v="11"/>
    <s v="Bengaluru"/>
    <x v="2"/>
    <x v="6"/>
    <s v="Pro Copiers 769"/>
    <x v="3"/>
    <n v="9"/>
    <n v="465.06"/>
    <n v="-0.15"/>
    <n v="4185.54"/>
    <n v="3443.74"/>
    <n v="741.8"/>
    <x v="0"/>
    <x v="0"/>
    <s v="July"/>
    <s v="OK"/>
    <s v="Negative Discount"/>
    <n v="-0.15"/>
    <n v="1"/>
    <n v="1369.6309999999994"/>
    <n v="4813.3709999999992"/>
    <n v="3"/>
    <s v="South"/>
    <s v="ivalid"/>
    <s v="Standard Class"/>
  </r>
  <r>
    <s v="Ord-2025-10126"/>
    <x v="111"/>
    <d v="2025-07-18T00:00:00"/>
    <s v="Cust-7924"/>
    <s v="Neha Gupta"/>
    <x v="1"/>
    <x v="3"/>
    <x v="0"/>
    <s v="Udaipur"/>
    <x v="1"/>
    <x v="1"/>
    <s v="Basic Tables 753"/>
    <x v="1"/>
    <n v="6"/>
    <n v="3235.27"/>
    <n v="0.25"/>
    <n v="14558.72"/>
    <n v="9591.48"/>
    <n v="4967.24"/>
    <x v="1"/>
    <x v="2"/>
    <s v="July"/>
    <s v="OK"/>
    <s v="OK"/>
    <n v="0.25"/>
    <n v="1"/>
    <n v="4967.2350000000006"/>
    <n v="14558.715"/>
    <n v="1"/>
    <s v="West"/>
    <s v="Clean"/>
    <s v="Same Day"/>
  </r>
  <r>
    <s v="Ord-2025-10127"/>
    <x v="112"/>
    <d v="2025-09-26T00:00:00"/>
    <s v="Cust-1715"/>
    <s v="Priya Menon"/>
    <x v="2"/>
    <x v="0"/>
    <x v="18"/>
    <s v="New Delhi"/>
    <x v="2"/>
    <x v="6"/>
    <s v="Prime Copiers 651"/>
    <x v="3"/>
    <n v="3"/>
    <n v="1593.86"/>
    <n v="0.1"/>
    <n v="4303.42"/>
    <n v="2568.5700000000002"/>
    <n v="1734.85"/>
    <x v="0"/>
    <x v="0"/>
    <s v="September"/>
    <s v="OK"/>
    <s v="OK"/>
    <n v="0.1"/>
    <n v="1"/>
    <n v="1734.8520000000003"/>
    <n v="4303.4220000000005"/>
    <n v="2"/>
    <s v="North"/>
    <s v="Clean"/>
    <s v="Standard Class"/>
  </r>
  <r>
    <s v="Ord-2025-10128"/>
    <x v="45"/>
    <d v="2025-01-26T00:00:00"/>
    <s v="Cust-6802"/>
    <s v="Priya Menon"/>
    <x v="2"/>
    <x v="3"/>
    <x v="4"/>
    <s v="Indore"/>
    <x v="0"/>
    <x v="8"/>
    <s v="Basic Storage 321"/>
    <x v="0"/>
    <n v="2"/>
    <n v="3039.3"/>
    <n v="0.05"/>
    <n v="5774.67"/>
    <n v="3518.36"/>
    <n v="2256.31"/>
    <x v="0"/>
    <x v="0"/>
    <s v="January"/>
    <s v="Invalid"/>
    <s v="OK"/>
    <n v="0.05"/>
    <n v="1"/>
    <n v="2256.31"/>
    <n v="5774.67"/>
    <n v="-4"/>
    <s v="West"/>
    <s v="ivalid"/>
    <s v="Second Class"/>
  </r>
  <r>
    <s v="Ord-2024-10129"/>
    <x v="113"/>
    <d v="2024-12-16T00:00:00"/>
    <s v="Cust-9328"/>
    <s v="Neha Gupta"/>
    <x v="1"/>
    <x v="1"/>
    <x v="1"/>
    <s v="Bhubaneswar"/>
    <x v="1"/>
    <x v="3"/>
    <s v="Prime Furnishings 710"/>
    <x v="3"/>
    <n v="5"/>
    <n v="923.45"/>
    <n v="0.05"/>
    <n v="4386.3900000000003"/>
    <n v="3366.88"/>
    <n v="1019.51"/>
    <x v="0"/>
    <x v="2"/>
    <s v="December"/>
    <s v="OK"/>
    <s v="OK"/>
    <n v="0.05"/>
    <n v="1"/>
    <n v="1019.5074999999997"/>
    <n v="4386.3874999999998"/>
    <n v="3"/>
    <s v="East"/>
    <s v="Clean"/>
    <s v="Standard Class"/>
  </r>
  <r>
    <s v="Ord-2024-10130"/>
    <x v="43"/>
    <d v="2024-07-25T00:00:00"/>
    <s v="Cust-2588"/>
    <s v="Isha Nair"/>
    <x v="1"/>
    <x v="3"/>
    <x v="14"/>
    <s v="Panaji"/>
    <x v="0"/>
    <x v="9"/>
    <s v="Elite Binders 723"/>
    <x v="3"/>
    <n v="7"/>
    <n v="2741.29"/>
    <n v="0.05"/>
    <n v="18229.580000000002"/>
    <n v="15139.15"/>
    <n v="3090.43"/>
    <x v="0"/>
    <x v="0"/>
    <s v="July"/>
    <s v="OK"/>
    <s v="OK"/>
    <n v="0.05"/>
    <n v="1"/>
    <n v="3090.4285"/>
    <n v="18229.5785"/>
    <n v="6"/>
    <s v="West"/>
    <s v="Clean"/>
    <s v="Standard Class"/>
  </r>
  <r>
    <s v="Ord-2024-10131"/>
    <x v="114"/>
    <d v="2024-02-02T00:00:00"/>
    <s v="Cust-5435"/>
    <s v="Arjun Bose"/>
    <x v="0"/>
    <x v="3"/>
    <x v="12"/>
    <s v="Ahmedabad"/>
    <x v="0"/>
    <x v="7"/>
    <s v="Smart Labels 878"/>
    <x v="1"/>
    <n v="5"/>
    <n v="218.42"/>
    <n v="0.2"/>
    <n v="873.68"/>
    <n v="661.72"/>
    <n v="211.96"/>
    <x v="2"/>
    <x v="1"/>
    <s v="February"/>
    <s v="OK"/>
    <s v="OK"/>
    <n v="0.2"/>
    <n v="1"/>
    <n v="211.95999999999992"/>
    <n v="873.68"/>
    <n v="6"/>
    <s v="West"/>
    <s v="Clean"/>
    <s v="Same Day"/>
  </r>
  <r>
    <s v="Ord-2025-10132"/>
    <x v="26"/>
    <d v="2025-10-04T00:00:00"/>
    <s v="Cust-7637"/>
    <s v="Ananya Rao"/>
    <x v="3"/>
    <x v="1"/>
    <x v="15"/>
    <s v="Ranchi"/>
    <x v="0"/>
    <x v="0"/>
    <s v="Pro Paper 934"/>
    <x v="1"/>
    <n v="9"/>
    <n v="373.91"/>
    <n v="0.2"/>
    <n v="2692.15"/>
    <n v="2044.49"/>
    <n v="647.66"/>
    <x v="0"/>
    <x v="0"/>
    <s v="October"/>
    <s v="OK"/>
    <s v="OK"/>
    <n v="0.2"/>
    <n v="1"/>
    <n v="647.66200000000003"/>
    <n v="2692.152"/>
    <n v="5"/>
    <s v="East"/>
    <s v="Clean"/>
    <s v="Same Day"/>
  </r>
  <r>
    <s v="Ord-2024-10133"/>
    <x v="115"/>
    <d v="2024-11-04T00:00:00"/>
    <s v="Cust-3602"/>
    <s v="Kabir Singh"/>
    <x v="2"/>
    <x v="1"/>
    <x v="10"/>
    <s v="Guwahati"/>
    <x v="2"/>
    <x v="12"/>
    <s v="Classic Machines 886"/>
    <x v="2"/>
    <n v="2"/>
    <n v="533.08000000000004"/>
    <n v="0"/>
    <n v="1066.1600000000001"/>
    <n v="656.3"/>
    <n v="409.86"/>
    <x v="3"/>
    <x v="1"/>
    <s v="November"/>
    <s v="OK"/>
    <s v="OK"/>
    <n v="0"/>
    <n v="1"/>
    <n v="409.86000000000013"/>
    <n v="1066.1600000000001"/>
    <n v="207"/>
    <s v="East"/>
    <s v="Clean"/>
    <s v="First Class"/>
  </r>
  <r>
    <s v="Ord-2024-10134"/>
    <x v="113"/>
    <d v="2024-12-18T00:00:00"/>
    <s v="Cust-9441"/>
    <s v="Karan Malhotra"/>
    <x v="0"/>
    <x v="3"/>
    <x v="14"/>
    <s v="Panaji"/>
    <x v="2"/>
    <x v="11"/>
    <s v="Prime Phones 419"/>
    <x v="0"/>
    <n v="8"/>
    <n v="3372.15"/>
    <n v="0.15"/>
    <n v="22930.62"/>
    <n v="16875.55"/>
    <n v="6055.07"/>
    <x v="0"/>
    <x v="0"/>
    <s v="December"/>
    <s v="OK"/>
    <s v="OK"/>
    <n v="0.15"/>
    <n v="1"/>
    <n v="6055.07"/>
    <n v="22930.62"/>
    <n v="5"/>
    <s v="West"/>
    <s v="Clean"/>
    <s v="Second Class"/>
  </r>
  <r>
    <s v="Ord-2025-10135"/>
    <x v="116"/>
    <d v="2025-07-14T00:00:00"/>
    <s v="Cust-7361"/>
    <s v="Vikram Iyer"/>
    <x v="3"/>
    <x v="1"/>
    <x v="6"/>
    <s v="Kolkata"/>
    <x v="1"/>
    <x v="10"/>
    <s v="Elite Bookcases 266"/>
    <x v="4"/>
    <n v="5"/>
    <n v="383.1"/>
    <n v="0.25"/>
    <n v="1436.62"/>
    <n v="912.52"/>
    <n v="524.1"/>
    <x v="2"/>
    <x v="1"/>
    <s v="July"/>
    <s v="Invalid"/>
    <s v="OK"/>
    <n v="0.25"/>
    <n v="1"/>
    <n v="524.10500000000002"/>
    <n v="1436.625"/>
    <n v="0"/>
    <s v="East"/>
    <s v="Clean"/>
    <s v="Unknown"/>
  </r>
  <r>
    <s v="Ord-2025-10136"/>
    <x v="84"/>
    <d v="2025-08-24T00:00:00"/>
    <s v="Cust-1148"/>
    <s v="Diya Patel"/>
    <x v="1"/>
    <x v="2"/>
    <x v="13"/>
    <s v="Kochi"/>
    <x v="1"/>
    <x v="10"/>
    <s v="Prime Bookcases 954"/>
    <x v="3"/>
    <n v="1"/>
    <n v="3424.78"/>
    <n v="0"/>
    <n v="3424.78"/>
    <n v="1951.45"/>
    <n v="1473.33"/>
    <x v="0"/>
    <x v="0"/>
    <s v="August"/>
    <s v="Invalid"/>
    <s v="OK"/>
    <n v="0"/>
    <n v="1"/>
    <n v="1473.3300000000002"/>
    <n v="3424.78"/>
    <n v="0"/>
    <s v="South"/>
    <s v="Clean"/>
    <s v="Standard Class"/>
  </r>
  <r>
    <s v="Ord-2025-10137"/>
    <x v="117"/>
    <d v="2025-02-15T00:00:00"/>
    <s v="Cust-3350"/>
    <s v="Mira Das"/>
    <x v="3"/>
    <x v="1"/>
    <x v="15"/>
    <s v="Ranchi"/>
    <x v="0"/>
    <x v="9"/>
    <s v="Max Binders 362"/>
    <x v="3"/>
    <n v="9"/>
    <n v="4330.33"/>
    <n v="0.2"/>
    <n v="31178.38"/>
    <n v="21421.09"/>
    <n v="9757.2900000000009"/>
    <x v="0"/>
    <x v="0"/>
    <s v="February"/>
    <s v="OK"/>
    <s v="OK"/>
    <n v="0.2"/>
    <n v="1"/>
    <n v="9757.2860000000037"/>
    <n v="31178.376000000004"/>
    <n v="6"/>
    <s v="East"/>
    <s v="Clean"/>
    <s v="Standard Class"/>
  </r>
  <r>
    <s v="Ord-2025-10138"/>
    <x v="118"/>
    <d v="2025-01-09T00:00:00"/>
    <s v="Cust-7932"/>
    <s v="Sneha Kapoor"/>
    <x v="1"/>
    <x v="0"/>
    <x v="0"/>
    <s v="Jaipur"/>
    <x v="1"/>
    <x v="4"/>
    <s v="Prime Chairs 261"/>
    <x v="1"/>
    <n v="8"/>
    <n v="2667.07"/>
    <n v="0.1"/>
    <n v="19202.900000000001"/>
    <n v="15526.62"/>
    <n v="3676.28"/>
    <x v="0"/>
    <x v="0"/>
    <s v="January"/>
    <s v="Invalid"/>
    <s v="OK"/>
    <n v="0.1"/>
    <n v="1"/>
    <n v="3676.2840000000015"/>
    <n v="19202.904000000002"/>
    <n v="-235"/>
    <s v="North"/>
    <s v="ivalid"/>
    <s v="Same Day"/>
  </r>
  <r>
    <s v="Ord-2024-10139"/>
    <x v="119"/>
    <d v="2024-01-26T00:00:00"/>
    <s v="Cust-7173"/>
    <s v="Diya Patel"/>
    <x v="3"/>
    <x v="1"/>
    <x v="15"/>
    <s v="Ranchi"/>
    <x v="2"/>
    <x v="12"/>
    <s v="Basic Machines 185"/>
    <x v="3"/>
    <n v="8"/>
    <n v="4003.05"/>
    <n v="0.25"/>
    <n v="24018.3"/>
    <n v="14070.78"/>
    <n v="9947.52"/>
    <x v="0"/>
    <x v="0"/>
    <s v="January"/>
    <s v="OK"/>
    <s v="OK"/>
    <n v="0.25"/>
    <n v="1"/>
    <n v="9947.5200000000023"/>
    <n v="24018.300000000003"/>
    <n v="6"/>
    <s v="East"/>
    <s v="Clean"/>
    <s v="Standard Class"/>
  </r>
  <r>
    <s v="Ord-2025-10140"/>
    <x v="120"/>
    <d v="2025-03-07T00:00:00"/>
    <s v="Cust-4225"/>
    <s v="Neha Gupta"/>
    <x v="3"/>
    <x v="2"/>
    <x v="11"/>
    <s v="Bengaluru"/>
    <x v="0"/>
    <x v="7"/>
    <s v="Basic Labels 509"/>
    <x v="3"/>
    <n v="8"/>
    <n v="1287.6300000000001"/>
    <n v="0"/>
    <n v="10301.040000000001"/>
    <n v="6564.06"/>
    <n v="3736.98"/>
    <x v="0"/>
    <x v="0"/>
    <s v="March"/>
    <s v="OK"/>
    <s v="OK"/>
    <n v="0"/>
    <n v="1"/>
    <n v="3736.9800000000005"/>
    <n v="10301.040000000001"/>
    <n v="32"/>
    <s v="South"/>
    <s v="Clean"/>
    <s v="Standard Class"/>
  </r>
  <r>
    <s v="Ord-2024-10141"/>
    <x v="121"/>
    <d v="2024-06-01T00:00:00"/>
    <s v="Cust-2149"/>
    <s v="Mira Das"/>
    <x v="2"/>
    <x v="2"/>
    <x v="11"/>
    <s v="Bengaluru"/>
    <x v="1"/>
    <x v="10"/>
    <s v="Elite Bookcases 696"/>
    <x v="1"/>
    <n v="3"/>
    <n v="2914.55"/>
    <n v="0"/>
    <n v="8743.65"/>
    <n v="6603.76"/>
    <n v="2139.89"/>
    <x v="0"/>
    <x v="0"/>
    <s v="June"/>
    <s v="OK"/>
    <s v="OK"/>
    <n v="0"/>
    <n v="1"/>
    <n v="2139.8900000000012"/>
    <n v="8743.6500000000015"/>
    <n v="1"/>
    <s v="South"/>
    <s v="Clean"/>
    <s v="Same Day"/>
  </r>
  <r>
    <s v="Ord-2024-10142"/>
    <x v="122"/>
    <d v="2024-03-29T00:00:00"/>
    <s v="Cust-3314"/>
    <s v="Priya Menon"/>
    <x v="2"/>
    <x v="0"/>
    <x v="18"/>
    <s v="New Delhi"/>
    <x v="1"/>
    <x v="10"/>
    <s v="Elite Bookcases 772"/>
    <x v="1"/>
    <n v="7"/>
    <n v="634.29"/>
    <n v="0.1"/>
    <n v="3996.03"/>
    <n v="2859.51"/>
    <n v="1136.52"/>
    <x v="0"/>
    <x v="2"/>
    <s v="March"/>
    <s v="OK"/>
    <s v="OK"/>
    <n v="0.1"/>
    <n v="1"/>
    <n v="1136.5169999999998"/>
    <n v="3996.027"/>
    <n v="6"/>
    <s v="North"/>
    <s v="Clean"/>
    <s v="Same Day"/>
  </r>
  <r>
    <s v="Ord-2024-10143"/>
    <x v="123"/>
    <d v="2024-03-26T00:00:00"/>
    <s v="Cust-8944"/>
    <s v="Aditi Sen"/>
    <x v="3"/>
    <x v="0"/>
    <x v="0"/>
    <s v="Jaipur"/>
    <x v="2"/>
    <x v="11"/>
    <s v="Classic Phones 142"/>
    <x v="0"/>
    <n v="5"/>
    <n v="907.54"/>
    <n v="0.15"/>
    <n v="3857.04"/>
    <n v="2769.26"/>
    <n v="1087.78"/>
    <x v="0"/>
    <x v="0"/>
    <s v="March"/>
    <s v="Invalid"/>
    <s v="OK"/>
    <n v="0.15"/>
    <n v="2"/>
    <n v="1087.7849999999994"/>
    <n v="3857.0449999999996"/>
    <n v="-4"/>
    <s v="North"/>
    <s v="ivalid"/>
    <s v="Second Class"/>
  </r>
  <r>
    <s v="Ord-2024-10144"/>
    <x v="82"/>
    <d v="2024-03-26T00:00:00"/>
    <s v="Cust-3144"/>
    <s v="Priya Menon"/>
    <x v="0"/>
    <x v="3"/>
    <x v="12"/>
    <s v="Ahmedabad"/>
    <x v="0"/>
    <x v="0"/>
    <s v="Pro Paper 575"/>
    <x v="0"/>
    <n v="1"/>
    <n v="3409.5"/>
    <n v="0.1"/>
    <n v="3068.55"/>
    <n v="1916.16"/>
    <n v="1152.3900000000001"/>
    <x v="0"/>
    <x v="2"/>
    <s v="March"/>
    <s v="OK"/>
    <s v="OK"/>
    <n v="0.1"/>
    <n v="1"/>
    <n v="1152.3900000000001"/>
    <n v="3068.55"/>
    <n v="2"/>
    <s v="West"/>
    <s v="Clean"/>
    <s v="Second Class"/>
  </r>
  <r>
    <s v="Ord-2024-10145"/>
    <x v="124"/>
    <d v="2024-06-15T00:00:00"/>
    <s v="Cust-6747"/>
    <s v="Kabir Singh"/>
    <x v="1"/>
    <x v="2"/>
    <x v="2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s v="June"/>
    <s v="OK"/>
    <s v="OK"/>
    <n v="0.25"/>
    <n v="1"/>
    <n v="4368.1874999999982"/>
    <n v="11276.947499999998"/>
    <n v="8"/>
    <s v="South"/>
    <s v="Clean"/>
    <s v="First Class"/>
  </r>
  <r>
    <s v="Ord-2025-10146"/>
    <x v="125"/>
    <d v="2025-04-13T00:00:00"/>
    <s v="Cust-6161"/>
    <s v="Mira Das"/>
    <x v="1"/>
    <x v="3"/>
    <x v="14"/>
    <s v="Panaji"/>
    <x v="0"/>
    <x v="0"/>
    <s v="Smart Paper 899"/>
    <x v="3"/>
    <n v="4"/>
    <n v="4182.1499999999996"/>
    <n v="0.1"/>
    <n v="15055.74"/>
    <n v="9808.83"/>
    <n v="5246.91"/>
    <x v="0"/>
    <x v="0"/>
    <s v="April"/>
    <s v="OK"/>
    <s v="OK"/>
    <n v="0.1"/>
    <n v="1"/>
    <n v="5246.91"/>
    <n v="15055.74"/>
    <n v="2"/>
    <s v="West"/>
    <s v="Clean"/>
    <s v="Standard Class"/>
  </r>
  <r>
    <s v="Ord-2025-10147"/>
    <x v="126"/>
    <d v="2025-01-08T00:00:00"/>
    <s v="Cust-1460"/>
    <s v="Sneha Kapoor"/>
    <x v="1"/>
    <x v="2"/>
    <x v="17"/>
    <s v="Chennai"/>
    <x v="0"/>
    <x v="8"/>
    <s v="Classic Storage 423"/>
    <x v="1"/>
    <n v="9"/>
    <n v="3165.43"/>
    <n v="0.1"/>
    <n v="25639.98"/>
    <n v="21635.08"/>
    <n v="4004.9"/>
    <x v="0"/>
    <x v="0"/>
    <s v="January"/>
    <s v="Invalid"/>
    <s v="OK"/>
    <n v="0.1"/>
    <n v="1"/>
    <n v="4004.9029999999984"/>
    <n v="25639.983"/>
    <n v="-203"/>
    <s v="South"/>
    <s v="ivalid"/>
    <s v="Same Day"/>
  </r>
  <r>
    <s v="Ord-2024-10148"/>
    <x v="61"/>
    <d v="2024-12-30T00:00:00"/>
    <s v="Cust-2692"/>
    <s v="Priya Menon"/>
    <x v="3"/>
    <x v="3"/>
    <x v="14"/>
    <s v="Panaji"/>
    <x v="1"/>
    <x v="3"/>
    <s v="Classic Furnishings 743"/>
    <x v="2"/>
    <n v="8"/>
    <n v="386.1"/>
    <n v="0.1"/>
    <n v="2779.92"/>
    <n v="1744.05"/>
    <n v="1035.8699999999999"/>
    <x v="0"/>
    <x v="0"/>
    <s v="December"/>
    <s v="OK"/>
    <s v="OK"/>
    <n v="0.1"/>
    <n v="1"/>
    <n v="1035.8700000000001"/>
    <n v="2779.92"/>
    <n v="7"/>
    <s v="West"/>
    <s v="Clean"/>
    <s v="First Class"/>
  </r>
  <r>
    <s v="Ord-2025-10149"/>
    <x v="127"/>
    <d v="2025-02-13T00:00:00"/>
    <s v="Cust-2822"/>
    <s v="Mira Das"/>
    <x v="3"/>
    <x v="3"/>
    <x v="4"/>
    <s v="Indore"/>
    <x v="2"/>
    <x v="11"/>
    <s v="Smart Phones 336"/>
    <x v="4"/>
    <n v="8"/>
    <n v="1696.07"/>
    <n v="0.25"/>
    <n v="10176.42"/>
    <n v="7604.47"/>
    <n v="2571.9499999999998"/>
    <x v="0"/>
    <x v="0"/>
    <s v="February"/>
    <s v="Invalid"/>
    <s v="OK"/>
    <n v="0.25"/>
    <n v="1"/>
    <n v="2571.9499999999998"/>
    <n v="10176.42"/>
    <n v="-201"/>
    <s v="West"/>
    <s v="ivalid"/>
    <s v="Unknown"/>
  </r>
  <r>
    <s v="Ord-2024-10150"/>
    <x v="128"/>
    <d v="2024-01-30T00:00:00"/>
    <s v="Cust-5876"/>
    <s v="Aarav Sharma"/>
    <x v="1"/>
    <x v="3"/>
    <x v="0"/>
    <s v="Udaipur"/>
    <x v="2"/>
    <x v="6"/>
    <s v="Eco Copiers 381"/>
    <x v="1"/>
    <n v="7"/>
    <n v="2527.61"/>
    <n v="0.25"/>
    <n v="13269.95"/>
    <n v="8977.1"/>
    <n v="4292.8500000000004"/>
    <x v="0"/>
    <x v="0"/>
    <s v="January"/>
    <s v="Invalid"/>
    <s v="OK"/>
    <n v="0.25"/>
    <n v="1"/>
    <n v="4292.8524999999991"/>
    <n v="13269.952499999999"/>
    <n v="0"/>
    <s v="West"/>
    <s v="Clean"/>
    <s v="Same Day"/>
  </r>
  <r>
    <s v="Ord-2024-10151"/>
    <x v="129"/>
    <d v="2024-03-12T00:00:00"/>
    <s v="Cust-4661"/>
    <s v="Arjun Bose"/>
    <x v="0"/>
    <x v="4"/>
    <x v="12"/>
    <s v="Ahmedabad"/>
    <x v="1"/>
    <x v="10"/>
    <s v="Max Bookcases 595"/>
    <x v="2"/>
    <n v="1"/>
    <n v="1554.12"/>
    <n v="0.1"/>
    <n v="1398.71"/>
    <n v="1056.92"/>
    <n v="341.79"/>
    <x v="0"/>
    <x v="0"/>
    <s v="March"/>
    <s v="OK"/>
    <s v="OK"/>
    <n v="0.1"/>
    <n v="1"/>
    <n v="341.78799999999978"/>
    <n v="1398.7079999999999"/>
    <n v="8"/>
    <s v="Unknown"/>
    <s v="Clean"/>
    <s v="First Class"/>
  </r>
  <r>
    <s v="Ord-2024-10152"/>
    <x v="130"/>
    <d v="2024-06-27T00:00:00"/>
    <s v="Cust-6011"/>
    <s v="Neha Gupta"/>
    <x v="3"/>
    <x v="4"/>
    <x v="4"/>
    <s v="Indore"/>
    <x v="2"/>
    <x v="6"/>
    <s v="Max Copiers 992"/>
    <x v="3"/>
    <n v="2"/>
    <n v="3859.11"/>
    <n v="0"/>
    <n v="7718.22"/>
    <n v="5355.93"/>
    <n v="2362.29"/>
    <x v="2"/>
    <x v="2"/>
    <s v="June"/>
    <s v="Invalid"/>
    <s v="OK"/>
    <n v="0"/>
    <n v="1"/>
    <n v="2362.29"/>
    <n v="7718.22"/>
    <n v="0"/>
    <s v="Unknown"/>
    <s v="Clean"/>
    <s v="Standard Class"/>
  </r>
  <r>
    <s v="Ord-2024-10153"/>
    <x v="131"/>
    <d v="2024-06-17T00:00:00"/>
    <s v="Cust-6160"/>
    <s v="Kabir Singh"/>
    <x v="1"/>
    <x v="2"/>
    <x v="13"/>
    <s v="Kochi"/>
    <x v="1"/>
    <x v="1"/>
    <s v="Pro Tables 407"/>
    <x v="0"/>
    <n v="6"/>
    <n v="1088.04"/>
    <n v="0.1"/>
    <n v="5875.42"/>
    <n v="4380.55"/>
    <n v="1494.87"/>
    <x v="2"/>
    <x v="2"/>
    <s v="June"/>
    <s v="OK"/>
    <s v="OK"/>
    <n v="0.1"/>
    <n v="1"/>
    <n v="1494.866"/>
    <n v="5875.4160000000002"/>
    <n v="3"/>
    <s v="South"/>
    <s v="Clean"/>
    <s v="Second Class"/>
  </r>
  <r>
    <s v="Ord-2025-10154"/>
    <x v="132"/>
    <d v="2025-09-25T00:00:00"/>
    <s v="Cust-6971"/>
    <s v="Aditi Sen"/>
    <x v="0"/>
    <x v="1"/>
    <x v="1"/>
    <s v="Bhubaneswar"/>
    <x v="0"/>
    <x v="7"/>
    <s v="Prime Labels 559"/>
    <x v="3"/>
    <n v="7"/>
    <n v="3280.31"/>
    <n v="0"/>
    <n v="22962.17"/>
    <n v="15716.5"/>
    <n v="7245.67"/>
    <x v="1"/>
    <x v="2"/>
    <s v="September"/>
    <s v="OK"/>
    <s v="OK"/>
    <n v="0"/>
    <n v="1"/>
    <n v="7245.6699999999983"/>
    <n v="22962.17"/>
    <n v="2"/>
    <s v="East"/>
    <s v="Clean"/>
    <s v="Standard Class"/>
  </r>
  <r>
    <s v="Ord-2024-10155"/>
    <x v="133"/>
    <d v="2024-11-02T00:00:00"/>
    <s v="Cust-7764"/>
    <s v="Priya Menon"/>
    <x v="0"/>
    <x v="2"/>
    <x v="17"/>
    <s v="Chennai"/>
    <x v="1"/>
    <x v="10"/>
    <s v="Classic Bookcases 847"/>
    <x v="1"/>
    <n v="1"/>
    <n v="2599.12"/>
    <n v="0.15"/>
    <n v="2209.25"/>
    <n v="1523.78"/>
    <n v="685.47"/>
    <x v="0"/>
    <x v="0"/>
    <s v="November"/>
    <s v="Invalid"/>
    <s v="OK"/>
    <n v="0.15"/>
    <n v="1"/>
    <n v="685.47199999999998"/>
    <n v="2209.252"/>
    <n v="-30"/>
    <s v="South"/>
    <s v="ivalid"/>
    <s v="Same Day"/>
  </r>
  <r>
    <s v="Ord-2025-10156"/>
    <x v="134"/>
    <d v="2025-02-03T00:00:00"/>
    <s v="Cust-8327"/>
    <s v="Karan Malhotra"/>
    <x v="2"/>
    <x v="3"/>
    <x v="0"/>
    <s v="Udaipur"/>
    <x v="1"/>
    <x v="3"/>
    <s v="Classic Furnishings 655"/>
    <x v="1"/>
    <n v="3"/>
    <n v="2859.32"/>
    <n v="0.1"/>
    <n v="7720.16"/>
    <n v="5881"/>
    <n v="1839.16"/>
    <x v="1"/>
    <x v="2"/>
    <s v="February"/>
    <s v="OK"/>
    <s v="OK"/>
    <n v="0.1"/>
    <n v="1"/>
    <n v="1839.1640000000007"/>
    <n v="7720.1640000000007"/>
    <n v="8"/>
    <s v="West"/>
    <s v="Clean"/>
    <s v="Same Day"/>
  </r>
  <r>
    <s v="Ord-2025-10157"/>
    <x v="135"/>
    <d v="2025-03-27T00:00:00"/>
    <s v="Cust-4058"/>
    <s v="Vikram Iyer"/>
    <x v="1"/>
    <x v="1"/>
    <x v="9"/>
    <s v="Patna"/>
    <x v="2"/>
    <x v="12"/>
    <s v="Eco Machines 657"/>
    <x v="0"/>
    <n v="7"/>
    <n v="2305.37"/>
    <n v="0.25"/>
    <n v="12103.19"/>
    <n v="6717.87"/>
    <n v="5385.32"/>
    <x v="0"/>
    <x v="0"/>
    <s v="March"/>
    <s v="Invalid"/>
    <s v="OK"/>
    <n v="0.25"/>
    <n v="1"/>
    <n v="5385.3225000000011"/>
    <n v="12103.192500000001"/>
    <n v="0"/>
    <s v="East"/>
    <s v="Clean"/>
    <s v="Second Class"/>
  </r>
  <r>
    <s v="Ord-2024-10158"/>
    <x v="136"/>
    <d v="2024-10-24T00:00:00"/>
    <s v="Cust-1142"/>
    <s v="Rohan Mehta"/>
    <x v="1"/>
    <x v="2"/>
    <x v="5"/>
    <s v="Vijayawada"/>
    <x v="1"/>
    <x v="10"/>
    <s v="Pro Bookcases 430"/>
    <x v="3"/>
    <n v="3"/>
    <n v="915.84"/>
    <n v="0.15"/>
    <n v="2335.39"/>
    <n v="1466.15"/>
    <n v="869.24"/>
    <x v="0"/>
    <x v="0"/>
    <s v="October"/>
    <s v="OK"/>
    <s v="OK"/>
    <n v="0.15"/>
    <n v="1"/>
    <n v="869.24199999999973"/>
    <n v="2335.3919999999998"/>
    <n v="2"/>
    <s v="South"/>
    <s v="Clean"/>
    <s v="Standard Class"/>
  </r>
  <r>
    <s v="Ord-2024-10159"/>
    <x v="137"/>
    <d v="2024-11-09T00:00:00"/>
    <s v="Cust-2324"/>
    <s v="Neha Gupta"/>
    <x v="3"/>
    <x v="2"/>
    <x v="2"/>
    <s v="Hyderabad"/>
    <x v="1"/>
    <x v="10"/>
    <s v="Max Bookcases 881"/>
    <x v="2"/>
    <n v="1"/>
    <n v="4199.54"/>
    <n v="0.05"/>
    <n v="3989.56"/>
    <n v="2381.38"/>
    <n v="1608.18"/>
    <x v="0"/>
    <x v="0"/>
    <s v="November"/>
    <s v="OK"/>
    <s v="OK"/>
    <n v="0.05"/>
    <n v="1"/>
    <n v="1608.1829999999995"/>
    <n v="3989.5629999999996"/>
    <n v="61"/>
    <s v="South"/>
    <s v="Clean"/>
    <s v="First Class"/>
  </r>
  <r>
    <s v="Ord-2025-10160"/>
    <x v="45"/>
    <d v="2025-02-04T00:00:00"/>
    <s v="Cust-7717"/>
    <s v="Priya Menon"/>
    <x v="2"/>
    <x v="0"/>
    <x v="16"/>
    <s v="Gurugram"/>
    <x v="1"/>
    <x v="4"/>
    <s v="Elite Chairs 998"/>
    <x v="1"/>
    <n v="9"/>
    <n v="4430.5"/>
    <n v="0.15"/>
    <n v="33893.32"/>
    <n v="25750.35"/>
    <n v="8142.97"/>
    <x v="2"/>
    <x v="1"/>
    <s v="February"/>
    <s v="OK"/>
    <s v="OK"/>
    <n v="0.15"/>
    <n v="1"/>
    <n v="8142.9749999999985"/>
    <n v="33893.324999999997"/>
    <n v="5"/>
    <s v="North"/>
    <s v="Clean"/>
    <s v="Same Day"/>
  </r>
  <r>
    <s v="Ord-2025-10161"/>
    <x v="138"/>
    <d v="2025-06-10T00:00:00"/>
    <s v="Cust-4932"/>
    <s v="Vikram Iyer"/>
    <x v="1"/>
    <x v="3"/>
    <x v="3"/>
    <s v="Mumbai"/>
    <x v="0"/>
    <x v="0"/>
    <s v="Max Paper 113"/>
    <x v="0"/>
    <n v="4"/>
    <n v="1260.42"/>
    <n v="0.05"/>
    <n v="4789.6000000000004"/>
    <n v="4037.64"/>
    <n v="751.96"/>
    <x v="2"/>
    <x v="1"/>
    <s v="June"/>
    <s v="Invalid"/>
    <s v="OK"/>
    <n v="0.05"/>
    <n v="1"/>
    <n v="751.95600000000059"/>
    <n v="4789.5960000000005"/>
    <n v="-120"/>
    <s v="West"/>
    <s v="ivalid"/>
    <s v="Second Class"/>
  </r>
  <r>
    <s v="Ord-2025-10162"/>
    <x v="139"/>
    <d v="2025-07-30T00:00:00"/>
    <s v="Cust-2367"/>
    <s v="Arjun Bose"/>
    <x v="0"/>
    <x v="3"/>
    <x v="0"/>
    <s v="Udaipur"/>
    <x v="0"/>
    <x v="9"/>
    <s v="Smart Binders 267"/>
    <x v="3"/>
    <n v="1"/>
    <n v="1643.41"/>
    <n v="0"/>
    <n v="1643.41"/>
    <n v="907.4"/>
    <n v="736.01"/>
    <x v="2"/>
    <x v="1"/>
    <s v="July"/>
    <s v="OK"/>
    <s v="OK"/>
    <n v="0"/>
    <n v="1"/>
    <n v="736.0100000000001"/>
    <n v="1643.41"/>
    <n v="6"/>
    <s v="West"/>
    <s v="Clean"/>
    <s v="Standard Class"/>
  </r>
  <r>
    <s v="Ord-2024-10163"/>
    <x v="140"/>
    <d v="2024-03-14T00:00:00"/>
    <s v="Cust-4830"/>
    <s v="Neha Gupta"/>
    <x v="1"/>
    <x v="3"/>
    <x v="14"/>
    <s v="Panaji"/>
    <x v="1"/>
    <x v="3"/>
    <s v="Pro Furnishings 108"/>
    <x v="0"/>
    <n v="8"/>
    <n v="4472.84"/>
    <n v="0"/>
    <n v="35997.620000000003"/>
    <n v="26424.41"/>
    <n v="9358.31"/>
    <x v="2"/>
    <x v="2"/>
    <s v="March"/>
    <s v="Invalid"/>
    <s v="OK"/>
    <n v="0"/>
    <n v="1"/>
    <n v="9358.3100000000013"/>
    <n v="35782.720000000001"/>
    <n v="-173"/>
    <s v="West"/>
    <s v="ivalid"/>
    <s v="Second Class"/>
  </r>
  <r>
    <s v="Ord-2025-10164"/>
    <x v="141"/>
    <d v="2025-09-26T00:00:00"/>
    <s v="Cust-2548"/>
    <s v="Rohan Mehta"/>
    <x v="3"/>
    <x v="3"/>
    <x v="12"/>
    <s v="Ahmedabad"/>
    <x v="1"/>
    <x v="1"/>
    <s v="Elite Tables 389"/>
    <x v="4"/>
    <n v="6"/>
    <n v="2903.58"/>
    <n v="0.1"/>
    <n v="15679.33"/>
    <n v="12477.82"/>
    <n v="3201.51"/>
    <x v="2"/>
    <x v="2"/>
    <s v="September"/>
    <s v="OK"/>
    <s v="OK"/>
    <n v="0.1"/>
    <n v="1"/>
    <n v="3201.5120000000006"/>
    <n v="15679.332"/>
    <n v="5"/>
    <s v="West"/>
    <s v="Clean"/>
    <s v="Unknown"/>
  </r>
  <r>
    <s v="Ord-2025-10165"/>
    <x v="142"/>
    <d v="2025-09-14T00:00:00"/>
    <s v="Cust-3833"/>
    <s v="Rahul Verma"/>
    <x v="1"/>
    <x v="1"/>
    <x v="6"/>
    <s v="Kolkata"/>
    <x v="1"/>
    <x v="10"/>
    <s v="Pro Bookcases 595"/>
    <x v="0"/>
    <n v="1"/>
    <n v="3154.42"/>
    <n v="0.25"/>
    <n v="2365.8200000000002"/>
    <n v="1547.99"/>
    <n v="817.83"/>
    <x v="0"/>
    <x v="0"/>
    <s v="September"/>
    <s v="OK"/>
    <s v="OK"/>
    <n v="0.25"/>
    <n v="1"/>
    <n v="817.82500000000005"/>
    <n v="2365.8150000000001"/>
    <n v="5"/>
    <s v="East"/>
    <s v="Clean"/>
    <s v="Second Class"/>
  </r>
  <r>
    <s v="Ord-2024-10166"/>
    <x v="30"/>
    <d v="2024-11-29T00:00:00"/>
    <s v="Cust-4598"/>
    <s v="Mira Das"/>
    <x v="3"/>
    <x v="1"/>
    <x v="9"/>
    <s v="Patna"/>
    <x v="1"/>
    <x v="4"/>
    <s v="Max Chairs 148"/>
    <x v="3"/>
    <n v="4"/>
    <n v="3422.99"/>
    <n v="0.25"/>
    <n v="10268.969999999999"/>
    <n v="6470.92"/>
    <n v="3798.05"/>
    <x v="0"/>
    <x v="0"/>
    <s v="November"/>
    <s v="OK"/>
    <s v="OK"/>
    <n v="0.25"/>
    <n v="1"/>
    <n v="3798.0499999999993"/>
    <n v="10268.969999999999"/>
    <n v="7"/>
    <s v="East"/>
    <s v="Clean"/>
    <s v="Standard Class"/>
  </r>
  <r>
    <s v="Ord-2025-10167"/>
    <x v="143"/>
    <d v="2025-02-26T00:00:00"/>
    <s v="Cust-7215"/>
    <s v="Karan Malhotra"/>
    <x v="1"/>
    <x v="3"/>
    <x v="12"/>
    <s v="Ahmedabad"/>
    <x v="0"/>
    <x v="7"/>
    <s v="Basic Labels 671"/>
    <x v="2"/>
    <n v="1"/>
    <n v="2557.85"/>
    <n v="0.2"/>
    <n v="2046.28"/>
    <n v="1449.54"/>
    <n v="596.74"/>
    <x v="0"/>
    <x v="0"/>
    <s v="February"/>
    <s v="OK"/>
    <s v="OK"/>
    <n v="0.2"/>
    <n v="1"/>
    <n v="596.74"/>
    <n v="2046.28"/>
    <n v="6"/>
    <s v="West"/>
    <s v="Clean"/>
    <s v="First Class"/>
  </r>
  <r>
    <s v="Ord-2025-10168"/>
    <x v="144"/>
    <d v="2025-08-18T00:00:00"/>
    <s v="Cust-7770"/>
    <s v="Arjun Bose"/>
    <x v="3"/>
    <x v="2"/>
    <x v="11"/>
    <s v="Bengaluru"/>
    <x v="0"/>
    <x v="8"/>
    <s v="Elite Storage 628"/>
    <x v="2"/>
    <n v="9"/>
    <n v="3030.93"/>
    <n v="0.15"/>
    <n v="23186.61"/>
    <n v="17906.54"/>
    <n v="5280.07"/>
    <x v="0"/>
    <x v="2"/>
    <s v="August"/>
    <s v="Invalid"/>
    <s v="OK"/>
    <n v="0.15"/>
    <n v="1"/>
    <n v="5280.0744999999988"/>
    <n v="23186.6145"/>
    <n v="0"/>
    <s v="South"/>
    <s v="Clean"/>
    <s v="First Class"/>
  </r>
  <r>
    <s v="Ord-2025-10169"/>
    <x v="145"/>
    <d v="2025-01-23T00:00:00"/>
    <s v="Cust-9756"/>
    <s v="Kabir Singh"/>
    <x v="0"/>
    <x v="3"/>
    <x v="3"/>
    <s v="Mumbai"/>
    <x v="2"/>
    <x v="5"/>
    <s v="Eco Accessories 590"/>
    <x v="1"/>
    <n v="5"/>
    <n v="639.27"/>
    <n v="0.2"/>
    <n v="2557.08"/>
    <n v="2025.69"/>
    <n v="531.39"/>
    <x v="0"/>
    <x v="1"/>
    <s v="January"/>
    <s v="OK"/>
    <s v="OK"/>
    <n v="0.2"/>
    <n v="1"/>
    <n v="531.38999999999987"/>
    <n v="2557.08"/>
    <n v="3"/>
    <s v="West"/>
    <s v="Clean"/>
    <s v="Same Day"/>
  </r>
  <r>
    <s v="Ord-2025-10170"/>
    <x v="146"/>
    <d v="2025-09-13T00:00:00"/>
    <s v="Cust-2261"/>
    <s v="Diya Patel"/>
    <x v="0"/>
    <x v="1"/>
    <x v="10"/>
    <s v="Guwahati"/>
    <x v="0"/>
    <x v="2"/>
    <s v="Pro Art 734"/>
    <x v="3"/>
    <n v="8"/>
    <n v="733.9"/>
    <n v="0.05"/>
    <n v="5577.64"/>
    <n v="3541.29"/>
    <n v="2036.35"/>
    <x v="2"/>
    <x v="2"/>
    <s v="September"/>
    <s v="Invalid"/>
    <s v="OK"/>
    <n v="0.05"/>
    <n v="1"/>
    <n v="2036.3499999999995"/>
    <n v="5577.6399999999994"/>
    <n v="0"/>
    <s v="East"/>
    <s v="Clean"/>
    <s v="Standard Class"/>
  </r>
  <r>
    <s v="Ord-2025-10171"/>
    <x v="9"/>
    <d v="2025-09-15T00:00:00"/>
    <s v="Cust-3734"/>
    <s v="Rohan Mehta"/>
    <x v="2"/>
    <x v="1"/>
    <x v="9"/>
    <s v="Patna"/>
    <x v="2"/>
    <x v="6"/>
    <s v="Eco Copiers 102"/>
    <x v="3"/>
    <n v="3"/>
    <n v="1711.32"/>
    <n v="0"/>
    <n v="5133.96"/>
    <n v="3930"/>
    <n v="1203.96"/>
    <x v="0"/>
    <x v="0"/>
    <s v="September"/>
    <s v="OK"/>
    <s v="OK"/>
    <n v="0"/>
    <n v="2"/>
    <n v="1203.96"/>
    <n v="5133.96"/>
    <n v="8"/>
    <s v="East"/>
    <s v="Clean"/>
    <s v="Standard Class"/>
  </r>
  <r>
    <s v="Ord-2025-10172"/>
    <x v="7"/>
    <d v="2025-02-25T00:00:00"/>
    <s v="Cust-3436"/>
    <s v="Karan Malhotra"/>
    <x v="2"/>
    <x v="1"/>
    <x v="9"/>
    <s v="Patna"/>
    <x v="0"/>
    <x v="7"/>
    <s v="Basic Labels 876"/>
    <x v="1"/>
    <n v="5"/>
    <n v="4246.2700000000004"/>
    <n v="0.25"/>
    <n v="15923.51"/>
    <n v="11291.8"/>
    <n v="4631.71"/>
    <x v="0"/>
    <x v="0"/>
    <s v="February"/>
    <s v="OK"/>
    <s v="OK"/>
    <n v="0.25"/>
    <n v="1"/>
    <n v="4631.7125000000015"/>
    <n v="15923.512500000001"/>
    <n v="2"/>
    <s v="East"/>
    <s v="Clean"/>
    <s v="Same Day"/>
  </r>
  <r>
    <s v="Ord-2025-10173"/>
    <x v="147"/>
    <d v="2025-08-10T00:00:00"/>
    <s v="Cust-4845"/>
    <s v="Karan Malhotra"/>
    <x v="2"/>
    <x v="0"/>
    <x v="18"/>
    <s v="New Delhi"/>
    <x v="1"/>
    <x v="3"/>
    <s v="Prime Furnishings 381"/>
    <x v="1"/>
    <n v="9"/>
    <n v="2962.62"/>
    <n v="0.1"/>
    <n v="23997.22"/>
    <n v="16134.63"/>
    <n v="7862.59"/>
    <x v="1"/>
    <x v="2"/>
    <s v="August"/>
    <s v="OK"/>
    <s v="OK"/>
    <n v="0.1"/>
    <n v="1"/>
    <n v="7862.5919999999987"/>
    <n v="23997.221999999998"/>
    <n v="8"/>
    <s v="North"/>
    <s v="Clean"/>
    <s v="Same Day"/>
  </r>
  <r>
    <s v="Ord-2024-10174"/>
    <x v="148"/>
    <d v="2024-05-08T00:00:00"/>
    <s v="Cust-6153"/>
    <s v="Priya Menon"/>
    <x v="3"/>
    <x v="0"/>
    <x v="7"/>
    <s v="Ludhiana"/>
    <x v="2"/>
    <x v="6"/>
    <s v="Prime Copiers 440"/>
    <x v="0"/>
    <n v="1"/>
    <n v="2312.25"/>
    <n v="0.25"/>
    <n v="1734.19"/>
    <n v="1386.07"/>
    <n v="348.12"/>
    <x v="0"/>
    <x v="0"/>
    <s v="May"/>
    <s v="OK"/>
    <s v="OK"/>
    <n v="0.25"/>
    <n v="1"/>
    <n v="348.11750000000006"/>
    <n v="1734.1875"/>
    <n v="6"/>
    <s v="North"/>
    <s v="Clean"/>
    <s v="Second Class"/>
  </r>
  <r>
    <s v="Ord-2025-10175"/>
    <x v="149"/>
    <d v="2025-10-04T00:00:00"/>
    <s v="Cust-5475"/>
    <s v="Karan Malhotra"/>
    <x v="1"/>
    <x v="2"/>
    <x v="11"/>
    <s v="Bengaluru"/>
    <x v="1"/>
    <x v="10"/>
    <s v="Pro Bookcases 319"/>
    <x v="2"/>
    <n v="6"/>
    <n v="1620.53"/>
    <n v="0.15"/>
    <n v="8264.7000000000007"/>
    <n v="4768.75"/>
    <n v="3495.95"/>
    <x v="2"/>
    <x v="2"/>
    <s v="October"/>
    <s v="OK"/>
    <s v="OK"/>
    <n v="0.15"/>
    <n v="1"/>
    <n v="3495.9529999999995"/>
    <n v="8264.7029999999995"/>
    <n v="6"/>
    <s v="South"/>
    <s v="Clean"/>
    <s v="First Class"/>
  </r>
  <r>
    <s v="Ord-2024-10176"/>
    <x v="114"/>
    <d v="2024-02-03T00:00:00"/>
    <s v="Cust-5580"/>
    <s v="Arjun Bose"/>
    <x v="1"/>
    <x v="1"/>
    <x v="9"/>
    <s v="Patna"/>
    <x v="2"/>
    <x v="12"/>
    <s v="Basic Machines 584"/>
    <x v="1"/>
    <n v="7"/>
    <n v="2673.42"/>
    <n v="0.15"/>
    <n v="15906.85"/>
    <n v="11014.46"/>
    <n v="4892.3900000000003"/>
    <x v="0"/>
    <x v="2"/>
    <s v="February"/>
    <s v="OK"/>
    <s v="OK"/>
    <n v="0.15"/>
    <n v="1"/>
    <n v="4892.3890000000029"/>
    <n v="15906.849000000002"/>
    <n v="7"/>
    <s v="East"/>
    <s v="Clean"/>
    <s v="Same Day"/>
  </r>
  <r>
    <s v="Ord-2025-10177"/>
    <x v="150"/>
    <d v="2025-03-26T00:00:00"/>
    <s v="Cust-3027"/>
    <s v="Vikram Iyer"/>
    <x v="2"/>
    <x v="1"/>
    <x v="15"/>
    <s v="Ranchi"/>
    <x v="1"/>
    <x v="10"/>
    <s v="Pro Bookcases 612"/>
    <x v="3"/>
    <n v="8"/>
    <n v="3563.09"/>
    <n v="0.15"/>
    <n v="24229.01"/>
    <n v="13910.64"/>
    <n v="10318.370000000001"/>
    <x v="0"/>
    <x v="0"/>
    <s v="March"/>
    <s v="OK"/>
    <s v="OK"/>
    <n v="0.15"/>
    <n v="1"/>
    <n v="10318.371999999999"/>
    <n v="24229.011999999999"/>
    <n v="8"/>
    <s v="East"/>
    <s v="Clean"/>
    <s v="Standard Class"/>
  </r>
  <r>
    <s v="Ord-2024-10178"/>
    <x v="151"/>
    <d v="2024-03-06T00:00:00"/>
    <s v="Cust-4399"/>
    <s v="Sneha Kapoor"/>
    <x v="3"/>
    <x v="4"/>
    <x v="9"/>
    <s v="Patna"/>
    <x v="0"/>
    <x v="2"/>
    <s v="Classic Art 573"/>
    <x v="1"/>
    <n v="8"/>
    <n v="3879.95"/>
    <n v="0"/>
    <n v="31039.599999999999"/>
    <n v="20866.72"/>
    <n v="10172.879999999999"/>
    <x v="0"/>
    <x v="0"/>
    <s v="March"/>
    <s v="Invalid"/>
    <s v="OK"/>
    <n v="0"/>
    <n v="1"/>
    <n v="10172.879999999997"/>
    <n v="31039.599999999999"/>
    <n v="-87"/>
    <s v="Unknown"/>
    <s v="ivalid"/>
    <s v="Same Day"/>
  </r>
  <r>
    <s v="Ord-2024-10179"/>
    <x v="152"/>
    <d v="2024-09-30T00:00:00"/>
    <s v="Cust-3092"/>
    <s v="Isha Nair"/>
    <x v="2"/>
    <x v="2"/>
    <x v="2"/>
    <s v="Hyderabad"/>
    <x v="0"/>
    <x v="2"/>
    <s v="Eco Art 854"/>
    <x v="3"/>
    <n v="4"/>
    <n v="3281.74"/>
    <n v="0"/>
    <n v="13126.96"/>
    <n v="10732.44"/>
    <n v="2394.52"/>
    <x v="0"/>
    <x v="0"/>
    <s v="September"/>
    <s v="Invalid"/>
    <s v="OK"/>
    <n v="0"/>
    <n v="1"/>
    <n v="2394.5199999999986"/>
    <n v="13126.96"/>
    <n v="0"/>
    <s v="South"/>
    <s v="Clean"/>
    <s v="Standard Class"/>
  </r>
  <r>
    <s v="Ord-2024-10180"/>
    <x v="153"/>
    <d v="2024-03-19T00:00:00"/>
    <s v="Cust-1778"/>
    <s v="Ananya Rao"/>
    <x v="1"/>
    <x v="2"/>
    <x v="17"/>
    <s v="Chennai"/>
    <x v="1"/>
    <x v="3"/>
    <s v="Classic Furnishings 996"/>
    <x v="3"/>
    <n v="4"/>
    <n v="3186.3"/>
    <n v="0.25"/>
    <n v="9558.9"/>
    <n v="5516.76"/>
    <n v="4042.14"/>
    <x v="1"/>
    <x v="2"/>
    <s v="March"/>
    <s v="OK"/>
    <s v="OK"/>
    <n v="0.25"/>
    <n v="1"/>
    <n v="4042.1400000000012"/>
    <n v="9558.9000000000015"/>
    <n v="4"/>
    <s v="South"/>
    <s v="Clean"/>
    <s v="Standard Class"/>
  </r>
  <r>
    <s v="Ord-2024-10181"/>
    <x v="154"/>
    <d v="2024-08-26T00:00:00"/>
    <s v="Cust-3787"/>
    <s v="Mira Das"/>
    <x v="3"/>
    <x v="0"/>
    <x v="8"/>
    <s v="Noida"/>
    <x v="0"/>
    <x v="9"/>
    <s v="Prime Binders 735"/>
    <x v="2"/>
    <n v="7"/>
    <n v="844.59"/>
    <n v="0.1"/>
    <n v="5320.92"/>
    <n v="3041.5"/>
    <n v="2279.42"/>
    <x v="0"/>
    <x v="0"/>
    <s v="August"/>
    <s v="Invalid"/>
    <s v="OK"/>
    <n v="0.1"/>
    <n v="1"/>
    <n v="2279.4170000000004"/>
    <n v="5320.9170000000004"/>
    <n v="0"/>
    <s v="North"/>
    <s v="Clean"/>
    <s v="First Class"/>
  </r>
  <r>
    <s v="Ord-2025-10182"/>
    <x v="142"/>
    <d v="2025-09-10T00:00:00"/>
    <s v="Cust-5119"/>
    <s v="Priya Menon"/>
    <x v="3"/>
    <x v="2"/>
    <x v="17"/>
    <s v="Chennai"/>
    <x v="0"/>
    <x v="2"/>
    <s v="Pro Art 587"/>
    <x v="0"/>
    <n v="4"/>
    <n v="2551.4499999999998"/>
    <n v="0"/>
    <n v="10205.799999999999"/>
    <n v="5986.31"/>
    <n v="4219.49"/>
    <x v="0"/>
    <x v="0"/>
    <s v="September"/>
    <s v="OK"/>
    <s v="OK"/>
    <n v="0"/>
    <n v="1"/>
    <n v="4219.4899999999989"/>
    <n v="10205.799999999999"/>
    <n v="1"/>
    <s v="South"/>
    <s v="Clean"/>
    <s v="Second Class"/>
  </r>
  <r>
    <s v="Ord-2024-10183"/>
    <x v="155"/>
    <d v="2024-10-16T00:00:00"/>
    <s v="Cust-4121"/>
    <s v="Ananya Rao"/>
    <x v="3"/>
    <x v="1"/>
    <x v="9"/>
    <s v="Patna"/>
    <x v="2"/>
    <x v="12"/>
    <s v="Basic Machines 575"/>
    <x v="3"/>
    <n v="7"/>
    <n v="775.77"/>
    <n v="0"/>
    <n v="5430.39"/>
    <n v="3707.66"/>
    <n v="1722.73"/>
    <x v="0"/>
    <x v="0"/>
    <s v="October"/>
    <s v="Invalid"/>
    <s v="OK"/>
    <n v="0"/>
    <n v="1"/>
    <n v="1722.7299999999996"/>
    <n v="5430.3899999999994"/>
    <n v="0"/>
    <s v="East"/>
    <s v="Clean"/>
    <s v="Standard Class"/>
  </r>
  <r>
    <s v="Ord-2025-10184"/>
    <x v="156"/>
    <d v="2025-06-27T00:00:00"/>
    <s v="Cust-3366"/>
    <s v="Vikram Iyer"/>
    <x v="3"/>
    <x v="2"/>
    <x v="2"/>
    <s v="Hyderabad"/>
    <x v="2"/>
    <x v="6"/>
    <s v="Elite Copiers 788"/>
    <x v="3"/>
    <n v="7"/>
    <n v="2304.86"/>
    <n v="0.2"/>
    <n v="12907.22"/>
    <n v="8327.89"/>
    <n v="4579.33"/>
    <x v="0"/>
    <x v="2"/>
    <s v="June"/>
    <s v="OK"/>
    <s v="OK"/>
    <n v="0.2"/>
    <n v="1"/>
    <n v="4579.3260000000009"/>
    <n v="12907.216"/>
    <n v="3"/>
    <s v="South"/>
    <s v="Clean"/>
    <s v="Standard Class"/>
  </r>
  <r>
    <s v="Ord-2024-10185"/>
    <x v="157"/>
    <d v="2024-04-06T00:00:00"/>
    <s v="Cust-1358"/>
    <s v="Vikram Iyer"/>
    <x v="2"/>
    <x v="3"/>
    <x v="4"/>
    <s v="Indore"/>
    <x v="1"/>
    <x v="10"/>
    <s v="Max Bookcases 472"/>
    <x v="3"/>
    <n v="2"/>
    <n v="888.98"/>
    <n v="0"/>
    <n v="1777.96"/>
    <n v="1021.16"/>
    <n v="756.8"/>
    <x v="1"/>
    <x v="2"/>
    <s v="April"/>
    <s v="OK"/>
    <s v="OK"/>
    <n v="0"/>
    <n v="1"/>
    <n v="756.80000000000007"/>
    <n v="1777.96"/>
    <n v="62"/>
    <s v="West"/>
    <s v="Clean"/>
    <s v="Standard Class"/>
  </r>
  <r>
    <s v="Ord-2024-10186"/>
    <x v="8"/>
    <d v="2024-11-13T00:00:00"/>
    <s v="Cust-4968"/>
    <s v="Arjun Bose"/>
    <x v="0"/>
    <x v="4"/>
    <x v="7"/>
    <s v="Ludhiana"/>
    <x v="0"/>
    <x v="7"/>
    <s v="Smart Labels 475"/>
    <x v="0"/>
    <n v="2"/>
    <n v="1003.17"/>
    <n v="0.2"/>
    <n v="1605.07"/>
    <n v="1337.28"/>
    <n v="267.79000000000002"/>
    <x v="0"/>
    <x v="0"/>
    <s v="November"/>
    <s v="OK"/>
    <s v="OK"/>
    <n v="0.2"/>
    <n v="1"/>
    <n v="267.79200000000014"/>
    <n v="1605.0720000000001"/>
    <n v="186"/>
    <s v="Unknown"/>
    <s v="Clean"/>
    <s v="Second Class"/>
  </r>
  <r>
    <s v="Ord-2024-10187"/>
    <x v="43"/>
    <d v="2024-07-20T00:00:00"/>
    <s v="Cust-2778"/>
    <s v="Vikram Iyer"/>
    <x v="0"/>
    <x v="2"/>
    <x v="17"/>
    <s v="Chennai"/>
    <x v="1"/>
    <x v="1"/>
    <s v="Basic Tables 417"/>
    <x v="2"/>
    <n v="7"/>
    <n v="3608.43"/>
    <n v="0.05"/>
    <n v="23996.06"/>
    <n v="20167.28"/>
    <n v="3828.78"/>
    <x v="0"/>
    <x v="0"/>
    <s v="July"/>
    <s v="OK"/>
    <s v="OK"/>
    <n v="0.05"/>
    <n v="1"/>
    <n v="3828.7794999999969"/>
    <n v="23996.059499999996"/>
    <n v="1"/>
    <s v="South"/>
    <s v="Clean"/>
    <s v="First Class"/>
  </r>
  <r>
    <s v="Ord-2025-10188"/>
    <x v="158"/>
    <d v="2025-05-02T00:00:00"/>
    <s v="Cust-3109"/>
    <s v="Mira Das"/>
    <x v="0"/>
    <x v="3"/>
    <x v="4"/>
    <s v="Indore"/>
    <x v="1"/>
    <x v="4"/>
    <s v="Pro Chairs 844"/>
    <x v="1"/>
    <n v="3"/>
    <n v="2905.74"/>
    <n v="0"/>
    <n v="8717.2199999999993"/>
    <n v="6215.96"/>
    <n v="2501.2600000000002"/>
    <x v="0"/>
    <x v="2"/>
    <s v="May"/>
    <s v="OK"/>
    <s v="OK"/>
    <n v="0"/>
    <n v="1"/>
    <n v="2501.2599999999993"/>
    <n v="8717.2199999999993"/>
    <n v="117"/>
    <s v="West"/>
    <s v="Clean"/>
    <s v="Same Day"/>
  </r>
  <r>
    <s v="Ord-2025-10189"/>
    <x v="159"/>
    <d v="2025-05-28T00:00:00"/>
    <s v="Cust-3422"/>
    <s v="Priya Menon"/>
    <x v="2"/>
    <x v="1"/>
    <x v="6"/>
    <s v="Kolkata"/>
    <x v="1"/>
    <x v="10"/>
    <s v="Elite Bookcases 883"/>
    <x v="1"/>
    <n v="2"/>
    <n v="3559.57"/>
    <n v="0.1"/>
    <n v="6553.95"/>
    <n v="4923.09"/>
    <n v="1484.14"/>
    <x v="0"/>
    <x v="0"/>
    <s v="May"/>
    <s v="OK"/>
    <s v="OK"/>
    <n v="0.1"/>
    <n v="1"/>
    <n v="1484.1360000000004"/>
    <n v="6407.2260000000006"/>
    <n v="7"/>
    <s v="East"/>
    <s v="Clean"/>
    <s v="Same Day"/>
  </r>
  <r>
    <s v="Ord-2025-10190"/>
    <x v="160"/>
    <d v="2025-05-07T00:00:00"/>
    <s v="Cust-3375"/>
    <s v="Arjun Bose"/>
    <x v="0"/>
    <x v="3"/>
    <x v="0"/>
    <s v="Udaipur"/>
    <x v="1"/>
    <x v="10"/>
    <s v="Basic Bookcases 754"/>
    <x v="2"/>
    <n v="9"/>
    <n v="3318.24"/>
    <m/>
    <n v="25384.54"/>
    <n v="16872.39"/>
    <n v="8512.15"/>
    <x v="0"/>
    <x v="0"/>
    <s v="May"/>
    <s v="Invalid"/>
    <s v="OK"/>
    <n v="0"/>
    <n v="1"/>
    <n v="12991.769999999997"/>
    <n v="29864.159999999996"/>
    <n v="-29"/>
    <s v="West"/>
    <s v="ivalid"/>
    <s v="First Class"/>
  </r>
  <r>
    <s v="Ord-2025-10191"/>
    <x v="161"/>
    <d v="2025-04-21T00:00:00"/>
    <s v="Cust-5138"/>
    <s v="Aditi Sen"/>
    <x v="0"/>
    <x v="2"/>
    <x v="17"/>
    <s v="Chennai"/>
    <x v="0"/>
    <x v="8"/>
    <s v="Eco Storage 158"/>
    <x v="2"/>
    <n v="3"/>
    <n v="540.09"/>
    <n v="0.1"/>
    <n v="1458.24"/>
    <n v="943.32"/>
    <n v="514.91999999999996"/>
    <x v="0"/>
    <x v="0"/>
    <s v="April"/>
    <s v="OK"/>
    <s v="OK"/>
    <n v="0.1"/>
    <n v="1"/>
    <n v="514.92299999999989"/>
    <n v="1458.2429999999999"/>
    <n v="1"/>
    <s v="South"/>
    <s v="Clean"/>
    <s v="First Class"/>
  </r>
  <r>
    <s v="Ord-2024-10192"/>
    <x v="162"/>
    <d v="2024-10-24T00:00:00"/>
    <s v="Cust-7410"/>
    <s v="Sneha Kapoor"/>
    <x v="1"/>
    <x v="2"/>
    <x v="17"/>
    <s v="Chennai"/>
    <x v="1"/>
    <x v="10"/>
    <s v="Prime Bookcases 602"/>
    <x v="0"/>
    <n v="6"/>
    <n v="4308.3999999999996"/>
    <n v="0.65"/>
    <n v="25850.400000000001"/>
    <n v="19397.68"/>
    <n v="6452.72"/>
    <x v="0"/>
    <x v="0"/>
    <s v="October"/>
    <s v="OK"/>
    <s v="OK"/>
    <n v="0.65"/>
    <n v="1"/>
    <n v="-10350.040000000001"/>
    <n v="9047.64"/>
    <n v="5"/>
    <s v="South"/>
    <s v="Clean"/>
    <s v="Second Class"/>
  </r>
  <r>
    <s v="Ord-2024-10193"/>
    <x v="163"/>
    <d v="2024-12-16T00:00:00"/>
    <s v="Cust-7115"/>
    <s v="Isha Nair"/>
    <x v="3"/>
    <x v="3"/>
    <x v="12"/>
    <s v="Ahmedabad"/>
    <x v="1"/>
    <x v="4"/>
    <s v="Eco Chairs 438"/>
    <x v="2"/>
    <n v="4"/>
    <n v="2191.0300000000002"/>
    <n v="0"/>
    <n v="8764.1200000000008"/>
    <n v="7220.05"/>
    <n v="1544.07"/>
    <x v="0"/>
    <x v="0"/>
    <s v="December"/>
    <s v="OK"/>
    <s v="OK"/>
    <n v="0"/>
    <n v="1"/>
    <n v="1544.0700000000006"/>
    <n v="8764.1200000000008"/>
    <n v="95"/>
    <s v="West"/>
    <s v="Clean"/>
    <s v="First Class"/>
  </r>
  <r>
    <s v="Ord-2024-10194"/>
    <x v="164"/>
    <d v="2024-06-28T00:00:00"/>
    <s v="Cust-9853"/>
    <s v="Priya Menon"/>
    <x v="1"/>
    <x v="0"/>
    <x v="7"/>
    <s v="Ludhiana"/>
    <x v="2"/>
    <x v="6"/>
    <s v="Prime Copiers 142"/>
    <x v="1"/>
    <n v="6"/>
    <n v="1956.63"/>
    <n v="0.2"/>
    <n v="9391.82"/>
    <n v="6013.22"/>
    <n v="3378.6"/>
    <x v="1"/>
    <x v="2"/>
    <s v="June"/>
    <s v="OK"/>
    <s v="OK"/>
    <n v="0.2"/>
    <n v="1"/>
    <n v="3378.6040000000003"/>
    <n v="9391.8240000000005"/>
    <n v="5"/>
    <s v="North"/>
    <s v="Clean"/>
    <s v="Same Day"/>
  </r>
  <r>
    <s v="Ord-2025-10195"/>
    <x v="165"/>
    <d v="2025-01-31T00:00:00"/>
    <s v="Cust-3637"/>
    <s v="Priya Menon"/>
    <x v="0"/>
    <x v="3"/>
    <x v="3"/>
    <s v="Mumbai"/>
    <x v="1"/>
    <x v="3"/>
    <s v="Prime Furnishings 433"/>
    <x v="2"/>
    <n v="9"/>
    <n v="858.39"/>
    <n v="0.05"/>
    <n v="7339.23"/>
    <n v="5434.12"/>
    <n v="1905.11"/>
    <x v="2"/>
    <x v="2"/>
    <s v="January"/>
    <s v="OK"/>
    <s v="OK"/>
    <n v="0.05"/>
    <n v="1"/>
    <n v="1905.1144999999997"/>
    <n v="7339.2344999999996"/>
    <n v="3"/>
    <s v="West"/>
    <s v="Clean"/>
    <s v="First Class"/>
  </r>
  <r>
    <s v="Ord-2025-10196"/>
    <x v="166"/>
    <d v="2025-07-24T00:00:00"/>
    <s v="Cust-4328"/>
    <s v="Neha Gupta"/>
    <x v="3"/>
    <x v="2"/>
    <x v="5"/>
    <s v="Vijayawada"/>
    <x v="1"/>
    <x v="3"/>
    <s v="Smart Furnishings 685"/>
    <x v="1"/>
    <n v="5"/>
    <n v="1922.83"/>
    <n v="0"/>
    <n v="9614.15"/>
    <n v="7576.84"/>
    <n v="2037.31"/>
    <x v="0"/>
    <x v="0"/>
    <s v="July"/>
    <s v="OK"/>
    <s v="OK"/>
    <n v="0"/>
    <n v="1"/>
    <n v="2037.3099999999995"/>
    <n v="9614.15"/>
    <n v="2"/>
    <s v="South"/>
    <s v="Clean"/>
    <s v="Same Day"/>
  </r>
  <r>
    <s v="Ord-2024-10197"/>
    <x v="167"/>
    <d v="2024-01-25T00:00:00"/>
    <s v="Cust-8028"/>
    <s v="Kabir Singh"/>
    <x v="3"/>
    <x v="0"/>
    <x v="8"/>
    <s v="Noida"/>
    <x v="0"/>
    <x v="8"/>
    <s v="Elite Storage 915"/>
    <x v="2"/>
    <n v="3"/>
    <n v="1212.03"/>
    <n v="0.1"/>
    <n v="3272.48"/>
    <n v="2517.44"/>
    <n v="755.04"/>
    <x v="0"/>
    <x v="0"/>
    <s v="January"/>
    <s v="OK"/>
    <s v="OK"/>
    <n v="0.1"/>
    <n v="1"/>
    <n v="755.04100000000017"/>
    <n v="3272.4810000000002"/>
    <n v="3"/>
    <s v="North"/>
    <s v="Clean"/>
    <s v="First Class"/>
  </r>
  <r>
    <s v="Ord-2025-10198"/>
    <x v="50"/>
    <d v="2025-04-07T00:00:00"/>
    <s v="Cust-6106"/>
    <s v="Rahul Verma"/>
    <x v="1"/>
    <x v="1"/>
    <x v="9"/>
    <s v="Patna"/>
    <x v="0"/>
    <x v="8"/>
    <s v="Basic Storage 961"/>
    <x v="0"/>
    <n v="5"/>
    <n v="4096.4399999999996"/>
    <n v="0.15"/>
    <n v="17409.87"/>
    <n v="14076.25"/>
    <n v="3333.62"/>
    <x v="0"/>
    <x v="0"/>
    <s v="April"/>
    <s v="OK"/>
    <s v="OK"/>
    <n v="0.15"/>
    <n v="1"/>
    <n v="3333.6199999999953"/>
    <n v="17409.869999999995"/>
    <n v="7"/>
    <s v="East"/>
    <s v="Clean"/>
    <s v="Second Class"/>
  </r>
  <r>
    <s v="Ord-2024-10199"/>
    <x v="168"/>
    <d v="2024-06-06T00:00:00"/>
    <s v="Cust-7820"/>
    <s v="Sneha Kapoor"/>
    <x v="0"/>
    <x v="3"/>
    <x v="12"/>
    <s v="Ahmedabad"/>
    <x v="0"/>
    <x v="2"/>
    <s v="Classic Art 968"/>
    <x v="0"/>
    <n v="1"/>
    <n v="1184.58"/>
    <n v="0.05"/>
    <n v="1125.3499999999999"/>
    <n v="676.97"/>
    <n v="448.38"/>
    <x v="3"/>
    <x v="1"/>
    <s v="June"/>
    <s v="OK"/>
    <s v="OK"/>
    <n v="0.05"/>
    <n v="1"/>
    <n v="448.38099999999986"/>
    <n v="1125.3509999999999"/>
    <n v="1"/>
    <s v="West"/>
    <s v="Clean"/>
    <s v="Second Class"/>
  </r>
  <r>
    <s v="Ord-2024-10200"/>
    <x v="38"/>
    <d v="2024-03-12T00:00:00"/>
    <s v="Cust-4536"/>
    <s v="Rahul Verma"/>
    <x v="3"/>
    <x v="1"/>
    <x v="9"/>
    <s v="Patna"/>
    <x v="2"/>
    <x v="12"/>
    <s v="Prime Machines 806"/>
    <x v="4"/>
    <n v="6"/>
    <n v="2185.58"/>
    <n v="0.25"/>
    <n v="9835.11"/>
    <n v="5437.64"/>
    <n v="4397.47"/>
    <x v="0"/>
    <x v="0"/>
    <s v="March"/>
    <s v="Invalid"/>
    <s v="OK"/>
    <n v="0.25"/>
    <n v="1"/>
    <n v="4397.47"/>
    <n v="9835.11"/>
    <n v="-266"/>
    <s v="East"/>
    <s v="ivalid"/>
    <s v="Unknown"/>
  </r>
  <r>
    <s v="Ord-2025-10201"/>
    <x v="102"/>
    <d v="2025-07-05T00:00:00"/>
    <s v="Cust-7047"/>
    <s v="Priya Menon"/>
    <x v="1"/>
    <x v="0"/>
    <x v="0"/>
    <s v="Jaipur"/>
    <x v="2"/>
    <x v="6"/>
    <s v="Classic Copiers 479"/>
    <x v="2"/>
    <n v="5"/>
    <n v="2868.44"/>
    <n v="0.1"/>
    <n v="12907.98"/>
    <n v="9197.08"/>
    <n v="3710.9"/>
    <x v="2"/>
    <x v="1"/>
    <s v="July"/>
    <s v="OK"/>
    <s v="OK"/>
    <n v="0.1"/>
    <n v="1"/>
    <n v="3710.9000000000015"/>
    <n v="12907.980000000001"/>
    <n v="8"/>
    <s v="North"/>
    <s v="Clean"/>
    <s v="First Class"/>
  </r>
  <r>
    <s v="Ord-2025-10202"/>
    <x v="169"/>
    <d v="2025-03-08T00:00:00"/>
    <s v="Cust-8005"/>
    <s v="Vikram Iyer"/>
    <x v="0"/>
    <x v="3"/>
    <x v="4"/>
    <s v="Indore"/>
    <x v="0"/>
    <x v="7"/>
    <s v="Basic Labels 511"/>
    <x v="0"/>
    <n v="2"/>
    <n v="2503.5300000000002"/>
    <n v="-0.16"/>
    <n v="4756.71"/>
    <n v="2954.86"/>
    <n v="1801.85"/>
    <x v="1"/>
    <x v="1"/>
    <s v="March"/>
    <s v="Invalid"/>
    <s v="Negative Discount"/>
    <n v="-0.16"/>
    <n v="1"/>
    <n v="2853.3295999999996"/>
    <n v="5808.1895999999997"/>
    <n v="-140"/>
    <s v="West"/>
    <s v="ivalid"/>
    <s v="Second Class"/>
  </r>
  <r>
    <s v="Ord-2025-10203"/>
    <x v="170"/>
    <d v="2025-03-28T00:00:00"/>
    <s v="Cust-9378"/>
    <s v="Sneha Kapoor"/>
    <x v="2"/>
    <x v="3"/>
    <x v="14"/>
    <s v="Panaji"/>
    <x v="2"/>
    <x v="5"/>
    <s v="Prime Accessories 733"/>
    <x v="3"/>
    <n v="8"/>
    <n v="1740.94"/>
    <n v="0.05"/>
    <n v="13231.14"/>
    <n v="11290.06"/>
    <n v="1941.08"/>
    <x v="0"/>
    <x v="0"/>
    <s v="March"/>
    <s v="Invalid"/>
    <s v="OK"/>
    <n v="0.05"/>
    <n v="1"/>
    <n v="1941.0840000000007"/>
    <n v="13231.144"/>
    <n v="0"/>
    <s v="West"/>
    <s v="Clean"/>
    <s v="Standard Class"/>
  </r>
  <r>
    <s v="Ord-2024-10204"/>
    <x v="171"/>
    <d v="2024-03-30T00:00:00"/>
    <s v="Cust-3384"/>
    <s v="Sneha Kapoor"/>
    <x v="2"/>
    <x v="3"/>
    <x v="0"/>
    <s v="Udaipur"/>
    <x v="2"/>
    <x v="5"/>
    <s v="Max Accessories 186"/>
    <x v="0"/>
    <n v="1"/>
    <n v="570.34"/>
    <n v="0.15"/>
    <n v="484.79"/>
    <n v="333.54"/>
    <n v="151.25"/>
    <x v="0"/>
    <x v="0"/>
    <s v="March"/>
    <s v="OK"/>
    <s v="OK"/>
    <n v="0.15"/>
    <n v="1"/>
    <n v="151.24899999999997"/>
    <n v="484.78899999999999"/>
    <n v="2"/>
    <s v="West"/>
    <s v="Clean"/>
    <s v="Second Class"/>
  </r>
  <r>
    <s v="Ord-2025-10205"/>
    <x v="172"/>
    <d v="2025-07-23T00:00:00"/>
    <s v="Cust-1986"/>
    <s v="Mira Das"/>
    <x v="3"/>
    <x v="1"/>
    <x v="6"/>
    <s v="Kolkata"/>
    <x v="1"/>
    <x v="1"/>
    <s v="Elite Tables 318"/>
    <x v="0"/>
    <n v="4"/>
    <n v="477.69"/>
    <n v="0.15"/>
    <n v="1624.15"/>
    <n v="1217.99"/>
    <n v="406.16"/>
    <x v="0"/>
    <x v="0"/>
    <s v="July"/>
    <s v="OK"/>
    <s v="OK"/>
    <n v="0.15"/>
    <n v="1"/>
    <n v="406.15599999999995"/>
    <n v="1624.146"/>
    <n v="3"/>
    <s v="East"/>
    <s v="Clean"/>
    <s v="Second Class"/>
  </r>
  <r>
    <s v="Ord-2025-10206"/>
    <x v="173"/>
    <d v="2025-04-26T00:00:00"/>
    <s v="Cust-3338"/>
    <s v="Ananya Rao"/>
    <x v="0"/>
    <x v="3"/>
    <x v="3"/>
    <s v="Mumbai"/>
    <x v="0"/>
    <x v="7"/>
    <s v="Smart Labels 354"/>
    <x v="1"/>
    <n v="6"/>
    <n v="873.59"/>
    <n v="0.2"/>
    <n v="4193.2299999999996"/>
    <n v="3329.99"/>
    <n v="863.24"/>
    <x v="0"/>
    <x v="0"/>
    <s v="April"/>
    <s v="OK"/>
    <s v="OK"/>
    <n v="0.2"/>
    <n v="1"/>
    <n v="863.24200000000019"/>
    <n v="4193.232"/>
    <n v="5"/>
    <s v="West"/>
    <s v="Clean"/>
    <s v="Same Day"/>
  </r>
  <r>
    <s v="Ord-2025-10207"/>
    <x v="174"/>
    <d v="2025-05-20T00:00:00"/>
    <s v="Cust-2343"/>
    <s v="Diya Patel"/>
    <x v="1"/>
    <x v="0"/>
    <x v="8"/>
    <s v="Noida"/>
    <x v="1"/>
    <x v="3"/>
    <s v="Pro Furnishings 981"/>
    <x v="2"/>
    <n v="2"/>
    <n v="215.13"/>
    <n v="0"/>
    <n v="430.26"/>
    <n v="286.38"/>
    <n v="143.88"/>
    <x v="0"/>
    <x v="0"/>
    <s v="May"/>
    <s v="OK"/>
    <s v="OK"/>
    <n v="0"/>
    <n v="1"/>
    <n v="143.88"/>
    <n v="430.26"/>
    <n v="2"/>
    <s v="North"/>
    <s v="Clean"/>
    <s v="First Class"/>
  </r>
  <r>
    <s v="Ord-2024-10208"/>
    <x v="175"/>
    <d v="2024-07-16T00:00:00"/>
    <s v="Cust-3362"/>
    <s v="Aarav Sharma"/>
    <x v="3"/>
    <x v="3"/>
    <x v="14"/>
    <s v="Panaji"/>
    <x v="1"/>
    <x v="10"/>
    <s v="Eco Bookcases 671"/>
    <x v="0"/>
    <n v="2"/>
    <n v="1095.45"/>
    <n v="0.2"/>
    <n v="1752.72"/>
    <n v="996.41"/>
    <n v="756.31"/>
    <x v="0"/>
    <x v="0"/>
    <s v="July"/>
    <s v="Invalid"/>
    <s v="OK"/>
    <n v="0.2"/>
    <n v="1"/>
    <n v="756.31000000000029"/>
    <n v="1752.7200000000003"/>
    <n v="-83"/>
    <s v="West"/>
    <s v="ivalid"/>
    <s v="Second Class"/>
  </r>
  <r>
    <s v="Ord-2025-10209"/>
    <x v="176"/>
    <d v="2025-07-05T00:00:00"/>
    <s v="Cust-3662"/>
    <s v="Diya Patel"/>
    <x v="0"/>
    <x v="0"/>
    <x v="7"/>
    <s v="Ludhiana"/>
    <x v="1"/>
    <x v="4"/>
    <s v="Max Chairs 151"/>
    <x v="1"/>
    <n v="1"/>
    <n v="999.83"/>
    <n v="0"/>
    <n v="999.83"/>
    <n v="634.91"/>
    <n v="364.92"/>
    <x v="0"/>
    <x v="0"/>
    <s v="July"/>
    <s v="OK"/>
    <s v="OK"/>
    <n v="0"/>
    <n v="1"/>
    <n v="364.92000000000007"/>
    <n v="999.83"/>
    <n v="6"/>
    <s v="North"/>
    <s v="Clean"/>
    <s v="Same Day"/>
  </r>
  <r>
    <s v="Ord-2025-10210"/>
    <x v="27"/>
    <d v="2025-08-14T00:00:00"/>
    <s v="Cust-4947"/>
    <s v="Rohan Mehta"/>
    <x v="1"/>
    <x v="2"/>
    <x v="5"/>
    <s v="Vijayawada"/>
    <x v="0"/>
    <x v="0"/>
    <s v="Prime Paper 903"/>
    <x v="2"/>
    <n v="9"/>
    <n v="864.98"/>
    <n v="0.1"/>
    <n v="7006.34"/>
    <n v="4640.88"/>
    <n v="2365.46"/>
    <x v="0"/>
    <x v="0"/>
    <s v="August"/>
    <s v="OK"/>
    <s v="OK"/>
    <n v="0.1"/>
    <n v="1"/>
    <n v="2365.4579999999996"/>
    <n v="7006.3379999999997"/>
    <n v="1"/>
    <s v="South"/>
    <s v="Clean"/>
    <s v="First Class"/>
  </r>
  <r>
    <s v="Ord-2024-10211"/>
    <x v="153"/>
    <d v="2024-03-18T00:00:00"/>
    <s v="Cust-3076"/>
    <s v="Kabir Singh"/>
    <x v="3"/>
    <x v="2"/>
    <x v="11"/>
    <s v="Bengaluru"/>
    <x v="2"/>
    <x v="12"/>
    <s v="Classic Machines 944"/>
    <x v="0"/>
    <n v="1"/>
    <n v="4131.3599999999997"/>
    <n v="0"/>
    <n v="4131.3599999999997"/>
    <n v="2937.07"/>
    <n v="1194.29"/>
    <x v="3"/>
    <x v="2"/>
    <s v="March"/>
    <s v="OK"/>
    <s v="OK"/>
    <n v="0"/>
    <n v="1"/>
    <n v="1194.2899999999995"/>
    <n v="4131.3599999999997"/>
    <n v="3"/>
    <s v="South"/>
    <s v="Clean"/>
    <s v="Second Class"/>
  </r>
  <r>
    <s v="Ord-2024-10212"/>
    <x v="177"/>
    <d v="2024-05-17T00:00:00"/>
    <s v="Cust-2222"/>
    <s v="Rohan Mehta"/>
    <x v="2"/>
    <x v="1"/>
    <x v="6"/>
    <s v="Kolkata"/>
    <x v="2"/>
    <x v="6"/>
    <s v="Basic Copiers 222"/>
    <x v="0"/>
    <n v="8"/>
    <n v="4221.95"/>
    <n v="0.2"/>
    <n v="27020.48"/>
    <n v="22885.24"/>
    <n v="4135.24"/>
    <x v="0"/>
    <x v="0"/>
    <s v="May"/>
    <s v="OK"/>
    <s v="OK"/>
    <n v="0.2"/>
    <n v="1"/>
    <n v="4135.239999999998"/>
    <n v="27020.48"/>
    <n v="1"/>
    <s v="East"/>
    <s v="Clean"/>
    <s v="Second Class"/>
  </r>
  <r>
    <s v="Ord-2024-10213"/>
    <x v="178"/>
    <d v="2024-09-21T00:00:00"/>
    <s v="Cust-3610"/>
    <s v="Ananya Rao"/>
    <x v="1"/>
    <x v="1"/>
    <x v="1"/>
    <s v="Bhubaneswar"/>
    <x v="2"/>
    <x v="11"/>
    <s v="Max Phones 329"/>
    <x v="1"/>
    <n v="2"/>
    <n v="214.5"/>
    <n v="0.15"/>
    <n v="364.65"/>
    <n v="280.74"/>
    <n v="83.91"/>
    <x v="0"/>
    <x v="0"/>
    <s v="September"/>
    <s v="Invalid"/>
    <s v="OK"/>
    <n v="0.15"/>
    <n v="1"/>
    <n v="83.909999999999968"/>
    <n v="364.65"/>
    <n v="0"/>
    <s v="East"/>
    <s v="Clean"/>
    <s v="Same Day"/>
  </r>
  <r>
    <s v="Ord-2024-10214"/>
    <x v="179"/>
    <d v="2024-05-21T00:00:00"/>
    <s v="Cust-9136"/>
    <s v="Isha Nair"/>
    <x v="1"/>
    <x v="1"/>
    <x v="9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s v="May"/>
    <s v="OK"/>
    <s v="OK"/>
    <n v="0.2"/>
    <n v="1"/>
    <n v="2570.6759999999995"/>
    <n v="13864.735999999999"/>
    <n v="6"/>
    <s v="East"/>
    <s v="Clean"/>
    <s v="Second Class"/>
  </r>
  <r>
    <s v="Ord-2024-10215"/>
    <x v="180"/>
    <d v="2024-03-23T00:00:00"/>
    <s v="Cust-1301"/>
    <s v="Rahul Verma"/>
    <x v="0"/>
    <x v="0"/>
    <x v="16"/>
    <s v="Gurugram"/>
    <x v="2"/>
    <x v="5"/>
    <s v="Classic Accessories 757"/>
    <x v="2"/>
    <n v="3"/>
    <n v="248.18"/>
    <n v="0.05"/>
    <n v="707.31"/>
    <n v="569"/>
    <n v="138.31"/>
    <x v="0"/>
    <x v="0"/>
    <s v="March"/>
    <s v="OK"/>
    <s v="OK"/>
    <n v="0.05"/>
    <n v="1"/>
    <n v="138.31299999999999"/>
    <n v="707.31299999999999"/>
    <n v="6"/>
    <s v="North"/>
    <s v="Clean"/>
    <s v="First Class"/>
  </r>
  <r>
    <s v="Ord-2024-10216"/>
    <x v="181"/>
    <d v="2024-03-04T00:00:00"/>
    <s v="Cust-8603"/>
    <s v="Mira Das"/>
    <x v="0"/>
    <x v="3"/>
    <x v="4"/>
    <s v="Indore"/>
    <x v="0"/>
    <x v="0"/>
    <s v="Prime Paper 286"/>
    <x v="2"/>
    <n v="8"/>
    <n v="3202.4"/>
    <n v="0.25"/>
    <n v="19214.400000000001"/>
    <n v="10916.01"/>
    <n v="8298.39"/>
    <x v="0"/>
    <x v="0"/>
    <s v="March"/>
    <s v="OK"/>
    <s v="OK"/>
    <n v="0.25"/>
    <n v="1"/>
    <n v="8298.3900000000012"/>
    <n v="19214.400000000001"/>
    <n v="3"/>
    <s v="West"/>
    <s v="Clean"/>
    <s v="First Class"/>
  </r>
  <r>
    <s v="Ord-2025-10217"/>
    <x v="6"/>
    <d v="2025-04-15T00:00:00"/>
    <s v="Cust-4330"/>
    <s v="Isha Nair"/>
    <x v="0"/>
    <x v="3"/>
    <x v="12"/>
    <s v="Ahmedabad"/>
    <x v="1"/>
    <x v="1"/>
    <s v="Basic Tables 400"/>
    <x v="3"/>
    <n v="8"/>
    <n v="1839.87"/>
    <n v="0.25"/>
    <n v="11039.22"/>
    <n v="7642.91"/>
    <n v="3396.31"/>
    <x v="3"/>
    <x v="2"/>
    <s v="April"/>
    <s v="Invalid"/>
    <s v="OK"/>
    <n v="0.25"/>
    <n v="1"/>
    <n v="3396.3099999999995"/>
    <n v="11039.22"/>
    <n v="-172"/>
    <s v="West"/>
    <s v="ivalid"/>
    <s v="Standard Class"/>
  </r>
  <r>
    <s v="Ord-2025-10218"/>
    <x v="182"/>
    <d v="2025-08-04T00:00:00"/>
    <s v="Cust-4533"/>
    <s v="Aditi Sen"/>
    <x v="0"/>
    <x v="1"/>
    <x v="1"/>
    <s v="Bhubaneswar"/>
    <x v="1"/>
    <x v="10"/>
    <s v="Basic Bookcases 405"/>
    <x v="0"/>
    <n v="5"/>
    <n v="1021.28"/>
    <n v="0.1"/>
    <n v="4595.76"/>
    <n v="3396.8"/>
    <n v="1198.96"/>
    <x v="1"/>
    <x v="1"/>
    <s v="August"/>
    <s v="OK"/>
    <s v="OK"/>
    <n v="0.1"/>
    <n v="1"/>
    <n v="1198.96"/>
    <n v="4595.76"/>
    <n v="125"/>
    <s v="East"/>
    <s v="Clean"/>
    <s v="Second Class"/>
  </r>
  <r>
    <s v="Ord-2025-10219"/>
    <x v="183"/>
    <d v="2025-02-27T00:00:00"/>
    <s v="Cust-8270"/>
    <s v="Priya Menon"/>
    <x v="2"/>
    <x v="3"/>
    <x v="12"/>
    <s v="Ahmedabad"/>
    <x v="1"/>
    <x v="10"/>
    <s v="Classic Bookcases 139"/>
    <x v="3"/>
    <n v="5"/>
    <n v="258.27999999999997"/>
    <n v="0"/>
    <n v="1291.4000000000001"/>
    <n v="756.93"/>
    <n v="534.47"/>
    <x v="0"/>
    <x v="0"/>
    <s v="February"/>
    <s v="OK"/>
    <s v="OK"/>
    <n v="0"/>
    <n v="1"/>
    <n v="534.46999999999991"/>
    <n v="1291.3999999999999"/>
    <n v="1"/>
    <s v="West"/>
    <s v="Clean"/>
    <s v="Standard Class"/>
  </r>
  <r>
    <s v="Ord-2024-10220"/>
    <x v="184"/>
    <d v="2024-06-19T00:00:00"/>
    <s v="Cust-1472"/>
    <s v="Rahul Verma"/>
    <x v="0"/>
    <x v="1"/>
    <x v="9"/>
    <s v="Patna"/>
    <x v="2"/>
    <x v="12"/>
    <s v="Elite Machines 290"/>
    <x v="2"/>
    <n v="2"/>
    <n v="121.49"/>
    <n v="0.85"/>
    <n v="242.98"/>
    <n v="161.41999999999999"/>
    <n v="81.56"/>
    <x v="0"/>
    <x v="0"/>
    <s v="June"/>
    <s v="OK"/>
    <s v="OK"/>
    <n v="0.85"/>
    <n v="1"/>
    <n v="-124.97299999999998"/>
    <n v="36.447000000000003"/>
    <n v="1"/>
    <s v="East"/>
    <s v="Clean"/>
    <s v="First Class"/>
  </r>
  <r>
    <s v="Ord-2024-10221"/>
    <x v="185"/>
    <d v="2024-03-09T00:00:00"/>
    <s v="Cust-1031"/>
    <s v="Sneha Kapoor"/>
    <x v="0"/>
    <x v="2"/>
    <x v="13"/>
    <s v="Kochi"/>
    <x v="0"/>
    <x v="8"/>
    <s v="Elite Storage 925"/>
    <x v="2"/>
    <n v="4"/>
    <n v="2810.17"/>
    <n v="0.15"/>
    <n v="9554.58"/>
    <n v="6068.47"/>
    <n v="3486.11"/>
    <x v="1"/>
    <x v="1"/>
    <s v="March"/>
    <s v="Invalid"/>
    <s v="OK"/>
    <n v="0.15"/>
    <n v="1"/>
    <n v="3486.1079999999993"/>
    <n v="9554.5779999999995"/>
    <n v="0"/>
    <s v="South"/>
    <s v="Clean"/>
    <s v="First Class"/>
  </r>
  <r>
    <s v="Ord-2025-10222"/>
    <x v="186"/>
    <d v="2025-01-15T00:00:00"/>
    <s v="Cust-2495"/>
    <s v="Mira Das"/>
    <x v="2"/>
    <x v="2"/>
    <x v="11"/>
    <s v="Bengaluru"/>
    <x v="1"/>
    <x v="4"/>
    <s v="Classic Chairs 231"/>
    <x v="1"/>
    <n v="4"/>
    <n v="1531.53"/>
    <n v="0.2"/>
    <n v="4900.8999999999996"/>
    <n v="3552.69"/>
    <n v="1348.21"/>
    <x v="0"/>
    <x v="0"/>
    <s v="January"/>
    <s v="OK"/>
    <s v="OK"/>
    <n v="0.2"/>
    <n v="1"/>
    <n v="1348.2059999999997"/>
    <n v="4900.8959999999997"/>
    <n v="3"/>
    <s v="South"/>
    <s v="Clean"/>
    <s v="Same Day"/>
  </r>
  <r>
    <s v="Ord-2025-10223"/>
    <x v="187"/>
    <d v="2025-05-02T00:00:00"/>
    <s v="Cust-4583"/>
    <s v="Vikram Iyer"/>
    <x v="1"/>
    <x v="3"/>
    <x v="14"/>
    <s v="Panaji"/>
    <x v="0"/>
    <x v="8"/>
    <s v="Prime Storage 818"/>
    <x v="2"/>
    <n v="6"/>
    <n v="4308.09"/>
    <n v="0"/>
    <n v="25848.54"/>
    <n v="17729.09"/>
    <n v="8119.45"/>
    <x v="0"/>
    <x v="0"/>
    <s v="May"/>
    <s v="OK"/>
    <s v="OK"/>
    <n v="0"/>
    <n v="1"/>
    <n v="8119.4500000000007"/>
    <n v="25848.54"/>
    <n v="3"/>
    <s v="West"/>
    <s v="Clean"/>
    <s v="First Class"/>
  </r>
  <r>
    <s v="Ord-2025-10224"/>
    <x v="188"/>
    <d v="2025-02-26T00:00:00"/>
    <s v="Cust-5319"/>
    <s v="Mira Das"/>
    <x v="2"/>
    <x v="3"/>
    <x v="3"/>
    <s v="Mumbai"/>
    <x v="1"/>
    <x v="3"/>
    <s v="Elite Furnishings 449"/>
    <x v="2"/>
    <n v="3"/>
    <n v="490.3"/>
    <n v="0.2"/>
    <n v="1176.72"/>
    <n v="654.33000000000004"/>
    <n v="522.39"/>
    <x v="2"/>
    <x v="2"/>
    <s v="February"/>
    <s v="OK"/>
    <s v="OK"/>
    <n v="0.2"/>
    <n v="1"/>
    <n v="522.39"/>
    <n v="1176.72"/>
    <n v="7"/>
    <s v="West"/>
    <s v="Clean"/>
    <s v="First Class"/>
  </r>
  <r>
    <s v="Ord-2025-10225"/>
    <x v="189"/>
    <d v="2025-10-08T00:00:00"/>
    <s v="Cust-9871"/>
    <s v="Isha Nair"/>
    <x v="1"/>
    <x v="0"/>
    <x v="7"/>
    <s v="Ludhiana"/>
    <x v="1"/>
    <x v="3"/>
    <s v="Classic Furnishings 109"/>
    <x v="3"/>
    <n v="4"/>
    <n v="3944.64"/>
    <n v="0.25"/>
    <n v="11833.92"/>
    <n v="6682.92"/>
    <n v="5151"/>
    <x v="0"/>
    <x v="1"/>
    <s v="October"/>
    <s v="OK"/>
    <s v="OK"/>
    <n v="0.25"/>
    <n v="2"/>
    <n v="5151"/>
    <n v="11833.92"/>
    <n v="240"/>
    <s v="North"/>
    <s v="Clean"/>
    <s v="Standard Class"/>
  </r>
  <r>
    <s v="Ord-2024-10226"/>
    <x v="190"/>
    <d v="2024-09-10T00:00:00"/>
    <s v="Cust-1266"/>
    <s v="Mira Das"/>
    <x v="2"/>
    <x v="3"/>
    <x v="14"/>
    <s v="Panaji"/>
    <x v="2"/>
    <x v="11"/>
    <s v="Classic Phones 548"/>
    <x v="3"/>
    <n v="6"/>
    <n v="1032.47"/>
    <n v="0.15"/>
    <n v="5265.6"/>
    <n v="4293.1099999999997"/>
    <n v="787.57"/>
    <x v="0"/>
    <x v="0"/>
    <s v="September"/>
    <s v="OK"/>
    <s v="OK"/>
    <n v="0.15"/>
    <n v="1"/>
    <n v="972.48700000000008"/>
    <n v="5265.5969999999998"/>
    <n v="214"/>
    <s v="West"/>
    <s v="Clean"/>
    <s v="Standard Class"/>
  </r>
  <r>
    <s v="Ord-2025-10227"/>
    <x v="191"/>
    <d v="2025-04-15T00:00:00"/>
    <s v="Cust-2545"/>
    <s v="Diya Patel"/>
    <x v="3"/>
    <x v="4"/>
    <x v="13"/>
    <s v="Kochi"/>
    <x v="2"/>
    <x v="6"/>
    <s v="Max Copiers 363"/>
    <x v="1"/>
    <n v="1"/>
    <n v="2208.27"/>
    <n v="0.1"/>
    <n v="1987.44"/>
    <n v="1110.23"/>
    <n v="877.21"/>
    <x v="0"/>
    <x v="0"/>
    <s v="April"/>
    <s v="OK"/>
    <s v="OK"/>
    <n v="0.1"/>
    <n v="1"/>
    <n v="877.21299999999997"/>
    <n v="1987.443"/>
    <n v="5"/>
    <s v="Unknown"/>
    <s v="Clean"/>
    <s v="Same Day"/>
  </r>
  <r>
    <s v="Ord-2024-10228"/>
    <x v="192"/>
    <d v="2024-07-12T00:00:00"/>
    <s v="Cust-2819"/>
    <s v="Ananya Rao"/>
    <x v="1"/>
    <x v="3"/>
    <x v="14"/>
    <s v="Panaji"/>
    <x v="0"/>
    <x v="9"/>
    <s v="Prime Binders 507"/>
    <x v="2"/>
    <n v="3"/>
    <n v="577.75"/>
    <n v="0.15"/>
    <n v="1473.26"/>
    <n v="899.86"/>
    <n v="573.4"/>
    <x v="0"/>
    <x v="0"/>
    <s v="July"/>
    <s v="OK"/>
    <s v="OK"/>
    <n v="0.15"/>
    <n v="1"/>
    <n v="573.40250000000003"/>
    <n v="1473.2625"/>
    <n v="66"/>
    <s v="West"/>
    <s v="Clean"/>
    <s v="First Class"/>
  </r>
  <r>
    <s v="Ord-2024-10229"/>
    <x v="48"/>
    <d v="2024-04-28T00:00:00"/>
    <s v="Cust-1076"/>
    <s v="Karan Malhotra"/>
    <x v="1"/>
    <x v="2"/>
    <x v="2"/>
    <s v="Hyderabad"/>
    <x v="0"/>
    <x v="7"/>
    <s v="Smart Labels 914"/>
    <x v="0"/>
    <n v="1"/>
    <n v="3194.37"/>
    <n v="0.15"/>
    <n v="2715.21"/>
    <n v="1551.55"/>
    <n v="1163.6600000000001"/>
    <x v="0"/>
    <x v="0"/>
    <s v="April"/>
    <s v="OK"/>
    <s v="OK"/>
    <n v="0.15"/>
    <n v="1"/>
    <n v="1163.6645000000001"/>
    <n v="2715.2145"/>
    <n v="4"/>
    <s v="South"/>
    <s v="Clean"/>
    <s v="Second Class"/>
  </r>
  <r>
    <s v="Ord-2025-10230"/>
    <x v="193"/>
    <d v="2025-04-07T00:00:00"/>
    <s v="Cust-1943"/>
    <s v="Rohan Mehta"/>
    <x v="0"/>
    <x v="2"/>
    <x v="2"/>
    <s v="Hyderabad"/>
    <x v="1"/>
    <x v="10"/>
    <s v="Smart Bookcases 662"/>
    <x v="2"/>
    <n v="3"/>
    <n v="2886.23"/>
    <n v="0"/>
    <n v="8658.69"/>
    <n v="5535.94"/>
    <n v="3122.75"/>
    <x v="1"/>
    <x v="2"/>
    <s v="April"/>
    <s v="Invalid"/>
    <s v="OK"/>
    <n v="0"/>
    <n v="1"/>
    <n v="3122.7500000000009"/>
    <n v="8658.69"/>
    <n v="-82"/>
    <s v="South"/>
    <s v="ivalid"/>
    <s v="First Class"/>
  </r>
  <r>
    <s v="Ord-2024-10231"/>
    <x v="194"/>
    <d v="2024-06-03T00:00:00"/>
    <s v="Cust-3434"/>
    <s v="Neha Gupta"/>
    <x v="1"/>
    <x v="0"/>
    <x v="0"/>
    <s v="Jaipur"/>
    <x v="0"/>
    <x v="0"/>
    <s v="Eco Paper 937"/>
    <x v="3"/>
    <n v="8"/>
    <n v="1540.33"/>
    <n v="0.1"/>
    <n v="11090.38"/>
    <n v="8840.9500000000007"/>
    <n v="2249.4299999999998"/>
    <x v="0"/>
    <x v="0"/>
    <s v="June"/>
    <s v="OK"/>
    <s v="OK"/>
    <n v="0.1"/>
    <n v="1"/>
    <n v="2249.4259999999995"/>
    <n v="11090.376"/>
    <n v="6"/>
    <s v="North"/>
    <s v="Clean"/>
    <s v="Standard Class"/>
  </r>
  <r>
    <s v="Ord-2024-10232"/>
    <x v="195"/>
    <d v="2024-02-05T00:00:00"/>
    <s v="Cust-9139"/>
    <s v="Ananya Rao"/>
    <x v="2"/>
    <x v="0"/>
    <x v="0"/>
    <s v="Jaipur"/>
    <x v="0"/>
    <x v="7"/>
    <s v="Max Labels 370"/>
    <x v="2"/>
    <n v="7"/>
    <n v="2183.38"/>
    <n v="0.25"/>
    <n v="11462.74"/>
    <n v="7163.54"/>
    <n v="4299.2"/>
    <x v="1"/>
    <x v="1"/>
    <s v="February"/>
    <s v="Invalid"/>
    <s v="OK"/>
    <n v="0.25"/>
    <n v="1"/>
    <n v="4299.204999999999"/>
    <n v="11462.744999999999"/>
    <n v="0"/>
    <s v="North"/>
    <s v="Clean"/>
    <s v="First Class"/>
  </r>
  <r>
    <s v="Ord-2025-10233"/>
    <x v="196"/>
    <d v="2025-06-10T00:00:00"/>
    <s v="Cust-5341"/>
    <s v="Rahul Verma"/>
    <x v="0"/>
    <x v="2"/>
    <x v="5"/>
    <s v="Vijayawada"/>
    <x v="2"/>
    <x v="11"/>
    <s v="Classic Phones 530"/>
    <x v="3"/>
    <n v="4"/>
    <n v="223.37"/>
    <n v="0.25"/>
    <n v="670.11"/>
    <n v="559.57000000000005"/>
    <n v="110.54"/>
    <x v="0"/>
    <x v="0"/>
    <s v="June"/>
    <s v="OK"/>
    <s v="OK"/>
    <n v="0.25"/>
    <n v="1"/>
    <n v="110.53999999999996"/>
    <n v="670.11"/>
    <n v="65"/>
    <s v="South"/>
    <s v="Clean"/>
    <s v="Standard Class"/>
  </r>
  <r>
    <s v="Ord-2024-10234"/>
    <x v="197"/>
    <d v="2024-10-14T00:00:00"/>
    <s v="Cust-3710"/>
    <s v="Vikram Iyer"/>
    <x v="2"/>
    <x v="2"/>
    <x v="11"/>
    <s v="Bengaluru"/>
    <x v="1"/>
    <x v="10"/>
    <s v="Smart Bookcases 328"/>
    <x v="4"/>
    <n v="8"/>
    <n v="3904.59"/>
    <n v="0"/>
    <n v="31236.720000000001"/>
    <n v="26377.7"/>
    <n v="4859.0200000000004"/>
    <x v="0"/>
    <x v="0"/>
    <s v="October"/>
    <s v="Invalid"/>
    <s v="OK"/>
    <n v="0"/>
    <n v="1"/>
    <n v="4859.0200000000004"/>
    <n v="31236.720000000001"/>
    <n v="0"/>
    <s v="South"/>
    <s v="Clean"/>
    <s v="Unknown"/>
  </r>
  <r>
    <s v="Ord-2024-10235"/>
    <x v="190"/>
    <d v="2024-09-03T00:00:00"/>
    <s v="Cust-9754"/>
    <s v="Kabir Singh"/>
    <x v="3"/>
    <x v="0"/>
    <x v="18"/>
    <s v="New Delhi"/>
    <x v="1"/>
    <x v="3"/>
    <s v="Eco Furnishings 981"/>
    <x v="2"/>
    <n v="9"/>
    <n v="1353.61"/>
    <n v="0.1"/>
    <n v="10964.24"/>
    <n v="9262.4699999999993"/>
    <n v="1701.77"/>
    <x v="0"/>
    <x v="0"/>
    <s v="September"/>
    <s v="OK"/>
    <s v="OK"/>
    <n v="0.1"/>
    <n v="1"/>
    <n v="1701.7710000000006"/>
    <n v="10964.241"/>
    <n v="207"/>
    <s v="North"/>
    <s v="Clean"/>
    <s v="First Class"/>
  </r>
  <r>
    <s v="Ord-2024-10236"/>
    <x v="198"/>
    <d v="2024-03-11T00:00:00"/>
    <s v="Cust-6256"/>
    <s v="Rahul Verma"/>
    <x v="1"/>
    <x v="3"/>
    <x v="0"/>
    <s v="Udaipur"/>
    <x v="0"/>
    <x v="8"/>
    <s v="Basic Storage 195"/>
    <x v="3"/>
    <n v="6"/>
    <n v="2671.29"/>
    <n v="0.05"/>
    <n v="15226.35"/>
    <n v="11145.28"/>
    <n v="4081.07"/>
    <x v="0"/>
    <x v="0"/>
    <s v="March"/>
    <s v="OK"/>
    <s v="OK"/>
    <n v="0.05"/>
    <n v="1"/>
    <n v="4081.0729999999985"/>
    <n v="15226.352999999999"/>
    <n v="29"/>
    <s v="West"/>
    <s v="Clean"/>
    <s v="Standard Class"/>
  </r>
  <r>
    <s v="Ord-2024-10237"/>
    <x v="197"/>
    <d v="2024-10-21T00:00:00"/>
    <s v="Cust-7113"/>
    <s v="Priya Menon"/>
    <x v="2"/>
    <x v="0"/>
    <x v="8"/>
    <s v="Noida"/>
    <x v="1"/>
    <x v="10"/>
    <s v="Elite Bookcases 907"/>
    <x v="2"/>
    <n v="6"/>
    <n v="4062.78"/>
    <n v="0"/>
    <n v="24376.68"/>
    <n v="18533.39"/>
    <n v="5843.29"/>
    <x v="0"/>
    <x v="0"/>
    <s v="October"/>
    <s v="OK"/>
    <s v="OK"/>
    <n v="0"/>
    <n v="1"/>
    <n v="5843.2900000000009"/>
    <n v="24376.68"/>
    <n v="7"/>
    <s v="North"/>
    <s v="Clean"/>
    <s v="First Class"/>
  </r>
  <r>
    <s v="Ord-2024-10238"/>
    <x v="199"/>
    <d v="2024-08-27T00:00:00"/>
    <s v="Cust-3827"/>
    <s v="Mira Das"/>
    <x v="0"/>
    <x v="0"/>
    <x v="16"/>
    <s v="Gurugram"/>
    <x v="2"/>
    <x v="6"/>
    <s v="Smart Copiers 471"/>
    <x v="3"/>
    <n v="9"/>
    <n v="2330.3000000000002"/>
    <n v="0"/>
    <n v="20972.7"/>
    <n v="13504.88"/>
    <n v="7467.82"/>
    <x v="0"/>
    <x v="0"/>
    <s v="August"/>
    <s v="Invalid"/>
    <s v="OK"/>
    <n v="0"/>
    <n v="1"/>
    <n v="7467.8200000000015"/>
    <n v="20972.7"/>
    <n v="0"/>
    <s v="North"/>
    <s v="Clean"/>
    <s v="Standard Class"/>
  </r>
  <r>
    <s v="Ord-2024-10239"/>
    <x v="200"/>
    <d v="2024-01-17T00:00:00"/>
    <s v="Cust-2375"/>
    <s v="Arjun Bose"/>
    <x v="0"/>
    <x v="2"/>
    <x v="5"/>
    <s v="Vijayawada"/>
    <x v="0"/>
    <x v="8"/>
    <s v="Prime Storage 625"/>
    <x v="2"/>
    <n v="7"/>
    <n v="4005.05"/>
    <n v="0.55000000000000004"/>
    <n v="26633.58"/>
    <n v="18838.75"/>
    <n v="7794.83"/>
    <x v="0"/>
    <x v="0"/>
    <s v="January"/>
    <s v="Invalid"/>
    <s v="OK"/>
    <n v="0.55000000000000004"/>
    <n v="1"/>
    <n v="-6222.8425000000007"/>
    <n v="12615.907499999999"/>
    <n v="-319"/>
    <s v="South"/>
    <s v="ivalid"/>
    <s v="First Class"/>
  </r>
  <r>
    <s v="Ord-2024-10240"/>
    <x v="178"/>
    <d v="2024-09-21T00:00:00"/>
    <s v="Cust-2233"/>
    <s v="Kabir Singh"/>
    <x v="2"/>
    <x v="2"/>
    <x v="11"/>
    <s v="Bengaluru"/>
    <x v="2"/>
    <x v="12"/>
    <s v="Smart Machines 801"/>
    <x v="2"/>
    <n v="2"/>
    <n v="1960.06"/>
    <n v="0.2"/>
    <n v="3136.1"/>
    <n v="2279.4899999999998"/>
    <n v="856.61"/>
    <x v="0"/>
    <x v="0"/>
    <s v="September"/>
    <s v="Invalid"/>
    <s v="OK"/>
    <n v="0.2"/>
    <n v="1"/>
    <n v="856.60600000000022"/>
    <n v="3136.096"/>
    <n v="0"/>
    <s v="South"/>
    <s v="Clean"/>
    <s v="First Class"/>
  </r>
  <r>
    <s v="Ord-2024-10241"/>
    <x v="201"/>
    <d v="2024-12-23T00:00:00"/>
    <s v="Cust-9778"/>
    <s v="Aarav Sharma"/>
    <x v="2"/>
    <x v="2"/>
    <x v="2"/>
    <s v="Hyderabad"/>
    <x v="0"/>
    <x v="9"/>
    <s v="Max Binders 170"/>
    <x v="2"/>
    <n v="9"/>
    <n v="2315.1"/>
    <n v="0"/>
    <n v="20835.900000000001"/>
    <n v="13928.19"/>
    <n v="6907.71"/>
    <x v="0"/>
    <x v="0"/>
    <s v="December"/>
    <s v="OK"/>
    <s v="OK"/>
    <n v="0"/>
    <n v="1"/>
    <n v="6907.7099999999973"/>
    <n v="20835.899999999998"/>
    <n v="6"/>
    <s v="South"/>
    <s v="Clean"/>
    <s v="First Class"/>
  </r>
  <r>
    <s v="Ord-2025-10242"/>
    <x v="202"/>
    <d v="2025-07-06T00:00:00"/>
    <s v="Cust-6949"/>
    <s v="Sneha Kapoor"/>
    <x v="2"/>
    <x v="0"/>
    <x v="16"/>
    <s v="Gurugram"/>
    <x v="0"/>
    <x v="8"/>
    <s v="Basic Storage 737"/>
    <x v="3"/>
    <n v="1"/>
    <n v="1617.2"/>
    <n v="0.25"/>
    <n v="1212.9000000000001"/>
    <n v="690.52"/>
    <n v="522.38"/>
    <x v="2"/>
    <x v="2"/>
    <s v="July"/>
    <s v="OK"/>
    <s v="OK"/>
    <n v="0.25"/>
    <n v="1"/>
    <n v="522.38000000000011"/>
    <n v="1212.9000000000001"/>
    <n v="29"/>
    <s v="North"/>
    <s v="Clean"/>
    <s v="Standard Class"/>
  </r>
  <r>
    <s v="Ord-2025-10243"/>
    <x v="203"/>
    <d v="2025-02-07T00:00:00"/>
    <s v="Cust-3430"/>
    <s v="Arjun Bose"/>
    <x v="0"/>
    <x v="0"/>
    <x v="8"/>
    <s v="Noida"/>
    <x v="0"/>
    <x v="2"/>
    <s v="Classic Art 126"/>
    <x v="0"/>
    <n v="3"/>
    <n v="1999.24"/>
    <n v="0.05"/>
    <n v="5697.83"/>
    <n v="4251.5"/>
    <n v="1446.33"/>
    <x v="0"/>
    <x v="0"/>
    <s v="February"/>
    <s v="Invalid"/>
    <s v="OK"/>
    <n v="0.05"/>
    <n v="1"/>
    <n v="1446.3339999999998"/>
    <n v="5697.8339999999998"/>
    <n v="-145"/>
    <s v="North"/>
    <s v="ivalid"/>
    <s v="Second Class"/>
  </r>
  <r>
    <s v="Ord-2025-10244"/>
    <x v="34"/>
    <d v="2025-08-02T00:00:00"/>
    <s v="Cust-6310"/>
    <s v="Sneha Kapoor"/>
    <x v="1"/>
    <x v="4"/>
    <x v="4"/>
    <s v="Indore"/>
    <x v="2"/>
    <x v="5"/>
    <s v="Prime Accessories 243"/>
    <x v="2"/>
    <n v="1"/>
    <n v="4499.46"/>
    <n v="0.1"/>
    <n v="4049.51"/>
    <n v="2509.1999999999998"/>
    <n v="1540.31"/>
    <x v="0"/>
    <x v="0"/>
    <s v="August"/>
    <s v="OK"/>
    <s v="OK"/>
    <n v="0.1"/>
    <n v="1"/>
    <n v="1540.3140000000003"/>
    <n v="4049.5140000000001"/>
    <n v="4"/>
    <s v="Unknown"/>
    <s v="Clean"/>
    <s v="First Class"/>
  </r>
  <r>
    <s v="Ord-2024-10245"/>
    <x v="204"/>
    <d v="2024-08-24T00:00:00"/>
    <s v="Cust-6008"/>
    <s v="Neha Gupta"/>
    <x v="0"/>
    <x v="2"/>
    <x v="2"/>
    <s v="Hyderabad"/>
    <x v="1"/>
    <x v="10"/>
    <s v="Eco Bookcases 768"/>
    <x v="1"/>
    <n v="6"/>
    <n v="1021.89"/>
    <n v="0"/>
    <n v="6131.34"/>
    <n v="4060.88"/>
    <n v="2070.46"/>
    <x v="0"/>
    <x v="0"/>
    <s v="August"/>
    <s v="OK"/>
    <s v="OK"/>
    <n v="0"/>
    <n v="1"/>
    <n v="2070.46"/>
    <n v="6131.34"/>
    <n v="1"/>
    <s v="South"/>
    <s v="Clean"/>
    <s v="Same Day"/>
  </r>
  <r>
    <s v="Ord-2024-10246"/>
    <x v="101"/>
    <d v="2024-10-24T00:00:00"/>
    <s v="Cust-1704"/>
    <s v="Neha Gupta"/>
    <x v="3"/>
    <x v="2"/>
    <x v="13"/>
    <s v="Kochi"/>
    <x v="1"/>
    <x v="4"/>
    <s v="Pro Chairs 316"/>
    <x v="0"/>
    <n v="3"/>
    <n v="3275.93"/>
    <n v="0"/>
    <n v="9827.7900000000009"/>
    <n v="5478.28"/>
    <n v="4349.51"/>
    <x v="0"/>
    <x v="0"/>
    <s v="October"/>
    <s v="OK"/>
    <s v="OK"/>
    <n v="0"/>
    <n v="1"/>
    <n v="4349.5099999999993"/>
    <n v="9827.7899999999991"/>
    <n v="6"/>
    <s v="South"/>
    <s v="Clean"/>
    <s v="Second Class"/>
  </r>
  <r>
    <s v="Ord-2024-10247"/>
    <x v="205"/>
    <d v="2024-05-09T00:00:00"/>
    <s v="Cust-1827"/>
    <s v="Ananya Rao"/>
    <x v="2"/>
    <x v="0"/>
    <x v="7"/>
    <s v="Ludhiana"/>
    <x v="2"/>
    <x v="12"/>
    <s v="Classic Machines 819"/>
    <x v="1"/>
    <n v="3"/>
    <n v="231.95"/>
    <n v="0.25"/>
    <n v="521.89"/>
    <n v="444.52"/>
    <n v="77.37"/>
    <x v="1"/>
    <x v="1"/>
    <s v="May"/>
    <s v="OK"/>
    <s v="OK"/>
    <n v="0.25"/>
    <n v="1"/>
    <n v="77.36749999999995"/>
    <n v="521.88749999999993"/>
    <n v="34"/>
    <s v="North"/>
    <s v="Clean"/>
    <s v="Same Day"/>
  </r>
  <r>
    <s v="Ord-2024-10248"/>
    <x v="206"/>
    <d v="2024-08-01T00:00:00"/>
    <s v="Cust-6663"/>
    <s v="Rahul Verma"/>
    <x v="2"/>
    <x v="0"/>
    <x v="0"/>
    <s v="Jaipur"/>
    <x v="2"/>
    <x v="5"/>
    <s v="Smart Accessories 572"/>
    <x v="0"/>
    <n v="8"/>
    <n v="2493.4"/>
    <n v="0.25"/>
    <n v="14960.4"/>
    <n v="12500.84"/>
    <n v="2459.56"/>
    <x v="0"/>
    <x v="0"/>
    <s v="August"/>
    <s v="OK"/>
    <s v="OK"/>
    <n v="0.25"/>
    <n v="1"/>
    <n v="2459.5600000000013"/>
    <n v="14960.400000000001"/>
    <n v="7"/>
    <s v="North"/>
    <s v="Clean"/>
    <s v="Second Class"/>
  </r>
  <r>
    <s v="Ord-2024-10249"/>
    <x v="207"/>
    <d v="2024-06-07T00:00:00"/>
    <s v="Cust-6278"/>
    <s v="Rohan Mehta"/>
    <x v="3"/>
    <x v="1"/>
    <x v="1"/>
    <s v="Bhubaneswar"/>
    <x v="0"/>
    <x v="7"/>
    <s v="Basic Labels 432"/>
    <x v="0"/>
    <n v="9"/>
    <n v="787.91"/>
    <n v="0.15"/>
    <n v="6027.51"/>
    <n v="4883.82"/>
    <n v="1143.69"/>
    <x v="0"/>
    <x v="0"/>
    <s v="June"/>
    <s v="OK"/>
    <s v="OK"/>
    <n v="0.15"/>
    <n v="1"/>
    <n v="1143.6914999999999"/>
    <n v="6027.5114999999996"/>
    <n v="122"/>
    <s v="East"/>
    <s v="Clean"/>
    <s v="Second Class"/>
  </r>
  <r>
    <s v="Ord-2025-10250"/>
    <x v="208"/>
    <d v="2025-02-08T00:00:00"/>
    <s v="Cust-2305"/>
    <s v="Mira Das"/>
    <x v="2"/>
    <x v="0"/>
    <x v="0"/>
    <s v="Jaipur"/>
    <x v="1"/>
    <x v="3"/>
    <s v="Classic Furnishings 378"/>
    <x v="2"/>
    <n v="4"/>
    <n v="2790.29"/>
    <n v="0.2"/>
    <n v="8928.93"/>
    <n v="5634.38"/>
    <n v="3294.55"/>
    <x v="0"/>
    <x v="0"/>
    <s v="February"/>
    <s v="OK"/>
    <s v="OK"/>
    <n v="0.2"/>
    <n v="1"/>
    <n v="3294.5479999999998"/>
    <n v="8928.9279999999999"/>
    <n v="31"/>
    <s v="North"/>
    <s v="Clean"/>
    <s v="First Class"/>
  </r>
  <r>
    <s v="Ord-2024-10251"/>
    <x v="209"/>
    <d v="2024-02-27T00:00:00"/>
    <s v="Cust-5351"/>
    <s v="Arjun Bose"/>
    <x v="1"/>
    <x v="1"/>
    <x v="6"/>
    <s v="Kolkata"/>
    <x v="1"/>
    <x v="3"/>
    <s v="Prime Furnishings 781"/>
    <x v="3"/>
    <n v="5"/>
    <n v="3373.86"/>
    <n v="0.15"/>
    <n v="14338.9"/>
    <n v="11897.65"/>
    <n v="2441.25"/>
    <x v="2"/>
    <x v="2"/>
    <s v="February"/>
    <s v="OK"/>
    <s v="OK"/>
    <n v="0.15"/>
    <n v="1"/>
    <n v="2441.2549999999992"/>
    <n v="14338.904999999999"/>
    <n v="6"/>
    <s v="East"/>
    <s v="Clean"/>
    <s v="Standard Class"/>
  </r>
  <r>
    <s v="Ord-2025-10252"/>
    <x v="210"/>
    <d v="2025-10-04T00:00:00"/>
    <s v="Cust-6268"/>
    <s v="Ananya Rao"/>
    <x v="2"/>
    <x v="3"/>
    <x v="12"/>
    <s v="Ahmedabad"/>
    <x v="1"/>
    <x v="1"/>
    <s v="Prime Tables 263"/>
    <x v="0"/>
    <n v="6"/>
    <n v="1022.16"/>
    <n v="0"/>
    <n v="6132.96"/>
    <n v="4881.1000000000004"/>
    <n v="1251.8599999999999"/>
    <x v="0"/>
    <x v="0"/>
    <s v="October"/>
    <s v="OK"/>
    <s v="OK"/>
    <n v="0"/>
    <n v="1"/>
    <n v="1251.8599999999997"/>
    <n v="6132.96"/>
    <n v="122"/>
    <s v="West"/>
    <s v="Clean"/>
    <s v="Second Class"/>
  </r>
  <r>
    <s v="Ord-2025-10253"/>
    <x v="211"/>
    <d v="2025-06-28T00:00:00"/>
    <s v="Cust-2103"/>
    <s v="Arjun Bose"/>
    <x v="2"/>
    <x v="0"/>
    <x v="16"/>
    <s v="Gurugram"/>
    <x v="0"/>
    <x v="8"/>
    <s v="Basic Storage 269"/>
    <x v="2"/>
    <n v="2"/>
    <n v="1455.92"/>
    <n v="0.2"/>
    <n v="2329.4699999999998"/>
    <n v="1603.62"/>
    <n v="725.85"/>
    <x v="2"/>
    <x v="2"/>
    <s v="June"/>
    <s v="OK"/>
    <s v="OK"/>
    <n v="0.2"/>
    <n v="1"/>
    <n v="725.85200000000032"/>
    <n v="2329.4720000000002"/>
    <n v="3"/>
    <s v="North"/>
    <s v="Clean"/>
    <s v="First Class"/>
  </r>
  <r>
    <s v="Ord-2024-10254"/>
    <x v="212"/>
    <d v="2024-09-13T00:00:00"/>
    <s v="Cust-5394"/>
    <s v="Priya Menon"/>
    <x v="1"/>
    <x v="0"/>
    <x v="0"/>
    <s v="Jaipur"/>
    <x v="2"/>
    <x v="11"/>
    <s v="Classic Phones 442"/>
    <x v="1"/>
    <n v="6"/>
    <n v="832.79"/>
    <n v="0.05"/>
    <n v="4746.8999999999996"/>
    <n v="2825.38"/>
    <n v="1472.89"/>
    <x v="1"/>
    <x v="1"/>
    <s v="September"/>
    <s v="Invalid"/>
    <s v="OK"/>
    <n v="0.05"/>
    <n v="1"/>
    <n v="1921.5229999999992"/>
    <n v="4746.9029999999993"/>
    <n v="-87"/>
    <s v="North"/>
    <s v="ivalid"/>
    <s v="Same Day"/>
  </r>
  <r>
    <s v="Ord-2025-10255"/>
    <x v="213"/>
    <d v="2025-01-03T00:00:00"/>
    <s v="Cust-6853"/>
    <s v="Ananya Rao"/>
    <x v="0"/>
    <x v="3"/>
    <x v="4"/>
    <s v="Indore"/>
    <x v="2"/>
    <x v="5"/>
    <s v="Elite Accessories 978"/>
    <x v="1"/>
    <n v="7"/>
    <n v="1000.55"/>
    <n v="0.2"/>
    <n v="5603.08"/>
    <n v="3132.52"/>
    <n v="2470.56"/>
    <x v="0"/>
    <x v="2"/>
    <s v="January"/>
    <s v="OK"/>
    <s v="OK"/>
    <n v="0.2"/>
    <n v="1"/>
    <n v="2470.56"/>
    <n v="5603.08"/>
    <n v="2"/>
    <s v="West"/>
    <s v="Clean"/>
    <s v="Same Day"/>
  </r>
  <r>
    <s v="Ord-2025-10256"/>
    <x v="214"/>
    <d v="2025-10-02T00:00:00"/>
    <s v="Cust-1549"/>
    <s v="Isha Nair"/>
    <x v="2"/>
    <x v="3"/>
    <x v="3"/>
    <s v="Mumbai"/>
    <x v="2"/>
    <x v="11"/>
    <s v="Eco Phones 132"/>
    <x v="2"/>
    <n v="7"/>
    <n v="1830"/>
    <n v="0"/>
    <n v="12810"/>
    <n v="9334.1200000000008"/>
    <n v="3475.88"/>
    <x v="0"/>
    <x v="0"/>
    <s v="October"/>
    <s v="OK"/>
    <s v="OK"/>
    <n v="0"/>
    <n v="1"/>
    <n v="3475.8799999999992"/>
    <n v="12810"/>
    <n v="183"/>
    <s v="West"/>
    <s v="Clean"/>
    <s v="First Class"/>
  </r>
  <r>
    <s v="Ord-2024-10257"/>
    <x v="8"/>
    <d v="2024-11-03T00:00:00"/>
    <s v="Cust-8411"/>
    <s v="Ananya Rao"/>
    <x v="0"/>
    <x v="1"/>
    <x v="6"/>
    <s v="Kolkata"/>
    <x v="1"/>
    <x v="1"/>
    <s v="Prime Tables 481"/>
    <x v="2"/>
    <n v="9"/>
    <n v="2260.61"/>
    <n v="0.05"/>
    <n v="19328.22"/>
    <n v="12039.5"/>
    <n v="7288.72"/>
    <x v="0"/>
    <x v="0"/>
    <s v="November"/>
    <s v="OK"/>
    <s v="OK"/>
    <n v="0.05"/>
    <n v="1"/>
    <n v="7288.7155000000021"/>
    <n v="19328.215500000002"/>
    <n v="176"/>
    <s v="East"/>
    <s v="Clean"/>
    <s v="First Class"/>
  </r>
  <r>
    <s v="Ord-2025-10258"/>
    <x v="215"/>
    <d v="2025-08-12T00:00:00"/>
    <s v="Cust-5615"/>
    <s v="Diya Patel"/>
    <x v="2"/>
    <x v="2"/>
    <x v="11"/>
    <s v="Bengaluru"/>
    <x v="2"/>
    <x v="5"/>
    <s v="Smart Accessories 180"/>
    <x v="0"/>
    <n v="2"/>
    <n v="3237.27"/>
    <n v="0"/>
    <n v="6474.54"/>
    <n v="5095.91"/>
    <n v="1378.63"/>
    <x v="0"/>
    <x v="1"/>
    <s v="August"/>
    <s v="Invalid"/>
    <s v="OK"/>
    <n v="0"/>
    <n v="1"/>
    <n v="1378.63"/>
    <n v="6474.54"/>
    <n v="-27"/>
    <s v="South"/>
    <s v="ivalid"/>
    <s v="Second Class"/>
  </r>
  <r>
    <s v="Ord-2024-10259"/>
    <x v="216"/>
    <d v="2025-01-04T00:00:00"/>
    <s v="Cust-8467"/>
    <s v="Sneha Kapoor"/>
    <x v="2"/>
    <x v="2"/>
    <x v="17"/>
    <s v="Chennai"/>
    <x v="1"/>
    <x v="1"/>
    <s v="Smart Tables 774"/>
    <x v="1"/>
    <n v="2"/>
    <n v="3720.07"/>
    <n v="0.25"/>
    <n v="5580.11"/>
    <n v="4307.01"/>
    <n v="1273.0999999999999"/>
    <x v="0"/>
    <x v="0"/>
    <s v="January"/>
    <s v="OK"/>
    <s v="OK"/>
    <n v="0.25"/>
    <n v="1"/>
    <n v="1273.0950000000003"/>
    <n v="5580.1050000000005"/>
    <n v="5"/>
    <s v="South"/>
    <s v="Clean"/>
    <s v="Same Day"/>
  </r>
  <r>
    <s v="Ord-2024-10260"/>
    <x v="217"/>
    <d v="2024-06-29T00:00:00"/>
    <s v="Cust-5174"/>
    <s v="Neha Gupta"/>
    <x v="0"/>
    <x v="2"/>
    <x v="17"/>
    <s v="Chennai"/>
    <x v="2"/>
    <x v="12"/>
    <s v="Prime Machines 793"/>
    <x v="3"/>
    <n v="8"/>
    <n v="2853.92"/>
    <n v="0.2"/>
    <n v="18265.09"/>
    <n v="10437.14"/>
    <n v="7827.95"/>
    <x v="0"/>
    <x v="0"/>
    <s v="June"/>
    <s v="OK"/>
    <s v="OK"/>
    <n v="0.2"/>
    <n v="1"/>
    <n v="7827.9480000000003"/>
    <n v="18265.088"/>
    <n v="8"/>
    <s v="South"/>
    <s v="Clean"/>
    <s v="Standard Class"/>
  </r>
  <r>
    <s v="Ord-2025-10261"/>
    <x v="132"/>
    <d v="2025-09-27T00:00:00"/>
    <s v="Cust-3543"/>
    <s v="Aditi Sen"/>
    <x v="2"/>
    <x v="1"/>
    <x v="6"/>
    <s v="Kolkata"/>
    <x v="0"/>
    <x v="9"/>
    <s v="Elite Binders 827"/>
    <x v="1"/>
    <n v="7"/>
    <n v="2897.12"/>
    <n v="0.25"/>
    <n v="15209.88"/>
    <n v="10891.15"/>
    <n v="4318.7299999999996"/>
    <x v="3"/>
    <x v="2"/>
    <s v="September"/>
    <s v="OK"/>
    <s v="OK"/>
    <n v="0.25"/>
    <n v="1"/>
    <n v="4318.7300000000014"/>
    <n v="15209.880000000001"/>
    <n v="4"/>
    <s v="East"/>
    <s v="Clean"/>
    <s v="Same Day"/>
  </r>
  <r>
    <s v="Ord-2025-10262"/>
    <x v="218"/>
    <d v="2025-06-24T00:00:00"/>
    <s v="Cust-7623"/>
    <s v="Sneha Kapoor"/>
    <x v="2"/>
    <x v="0"/>
    <x v="0"/>
    <s v="Jaipur"/>
    <x v="0"/>
    <x v="7"/>
    <s v="Prime Labels 326"/>
    <x v="3"/>
    <n v="3"/>
    <n v="686.74"/>
    <n v="0.2"/>
    <n v="1648.18"/>
    <n v="987.91"/>
    <n v="660.27"/>
    <x v="3"/>
    <x v="1"/>
    <s v="June"/>
    <s v="OK"/>
    <s v="OK"/>
    <n v="0.2"/>
    <n v="1"/>
    <n v="660.26600000000042"/>
    <n v="1648.1760000000004"/>
    <n v="6"/>
    <s v="North"/>
    <s v="Clean"/>
    <s v="Standard Class"/>
  </r>
  <r>
    <s v="Ord-2025-10263"/>
    <x v="219"/>
    <d v="2025-06-01T00:00:00"/>
    <s v="Cust-6153"/>
    <s v="Arjun Bose"/>
    <x v="1"/>
    <x v="0"/>
    <x v="18"/>
    <s v="New Delhi"/>
    <x v="2"/>
    <x v="11"/>
    <s v="Eco Phones 245"/>
    <x v="1"/>
    <n v="4"/>
    <n v="3349.86"/>
    <n v="0"/>
    <n v="13399.44"/>
    <n v="8581.35"/>
    <n v="4818.09"/>
    <x v="2"/>
    <x v="2"/>
    <s v="June"/>
    <s v="OK"/>
    <s v="OK"/>
    <n v="0"/>
    <n v="1"/>
    <n v="4818.09"/>
    <n v="13399.44"/>
    <n v="6"/>
    <s v="North"/>
    <s v="Clean"/>
    <s v="Same Day"/>
  </r>
  <r>
    <s v="Ord-2025-10264"/>
    <x v="220"/>
    <d v="2025-08-10T00:00:00"/>
    <s v="Cust-8265"/>
    <s v="Rohan Mehta"/>
    <x v="1"/>
    <x v="0"/>
    <x v="18"/>
    <s v="New Delhi"/>
    <x v="0"/>
    <x v="9"/>
    <s v="Smart Binders 905"/>
    <x v="0"/>
    <n v="9"/>
    <n v="4042.45"/>
    <n v="0.1"/>
    <n v="32743.84"/>
    <n v="22452.05"/>
    <n v="10291.790000000001"/>
    <x v="2"/>
    <x v="2"/>
    <s v="August"/>
    <s v="OK"/>
    <s v="OK"/>
    <n v="0.1"/>
    <n v="1"/>
    <n v="10291.794999999998"/>
    <n v="32743.844999999998"/>
    <n v="63"/>
    <s v="North"/>
    <s v="Clean"/>
    <s v="Second Class"/>
  </r>
  <r>
    <s v="Ord-2024-10265"/>
    <x v="177"/>
    <d v="2024-05-21T00:00:00"/>
    <s v="Cust-4750"/>
    <s v="Diya Patel"/>
    <x v="1"/>
    <x v="1"/>
    <x v="9"/>
    <s v="Patna"/>
    <x v="2"/>
    <x v="6"/>
    <s v="Pro Copiers 599"/>
    <x v="3"/>
    <n v="4"/>
    <n v="1503.07"/>
    <n v="0"/>
    <n v="6012.28"/>
    <n v="3927.64"/>
    <n v="2084.64"/>
    <x v="0"/>
    <x v="0"/>
    <s v="May"/>
    <s v="OK"/>
    <s v="OK"/>
    <n v="0"/>
    <n v="1"/>
    <n v="2084.64"/>
    <n v="6012.28"/>
    <n v="5"/>
    <s v="East"/>
    <s v="Clean"/>
    <s v="Standard Class"/>
  </r>
  <r>
    <s v="Ord-2024-10266"/>
    <x v="221"/>
    <d v="2024-11-22T00:00:00"/>
    <s v="Cust-3974"/>
    <s v="Priya Menon"/>
    <x v="2"/>
    <x v="1"/>
    <x v="9"/>
    <s v="Patna"/>
    <x v="1"/>
    <x v="10"/>
    <s v="Basic Bookcases 570"/>
    <x v="1"/>
    <n v="1"/>
    <n v="582.37"/>
    <n v="0.15"/>
    <n v="495.01"/>
    <n v="285.13"/>
    <n v="209.88"/>
    <x v="1"/>
    <x v="1"/>
    <s v="November"/>
    <s v="OK"/>
    <s v="OK"/>
    <n v="0.15"/>
    <n v="1"/>
    <n v="209.8845"/>
    <n v="495.0145"/>
    <n v="8"/>
    <s v="East"/>
    <s v="Clean"/>
    <s v="Same Day"/>
  </r>
  <r>
    <s v="Ord-2025-10267"/>
    <x v="222"/>
    <d v="2025-05-10T00:00:00"/>
    <s v="Cust-7114"/>
    <s v="Neha Gupta"/>
    <x v="3"/>
    <x v="3"/>
    <x v="3"/>
    <s v="Mumbai"/>
    <x v="0"/>
    <x v="8"/>
    <s v="Classic Storage 926"/>
    <x v="0"/>
    <n v="3"/>
    <n v="4339.24"/>
    <n v="0"/>
    <n v="13017.72"/>
    <n v="10170.57"/>
    <n v="2847.15"/>
    <x v="0"/>
    <x v="0"/>
    <s v="May"/>
    <s v="OK"/>
    <s v="OK"/>
    <n v="0"/>
    <n v="1"/>
    <n v="2847.1499999999996"/>
    <n v="13017.72"/>
    <n v="66"/>
    <s v="West"/>
    <s v="Clean"/>
    <s v="Second Class"/>
  </r>
  <r>
    <s v="Ord-2025-10268"/>
    <x v="223"/>
    <d v="2025-06-04T00:00:00"/>
    <s v="Cust-4431"/>
    <s v="Diya Patel"/>
    <x v="2"/>
    <x v="1"/>
    <x v="15"/>
    <s v="Ranchi"/>
    <x v="1"/>
    <x v="3"/>
    <s v="Basic Furnishings 372"/>
    <x v="2"/>
    <n v="4"/>
    <n v="261.8"/>
    <n v="0.25"/>
    <n v="785.4"/>
    <n v="557.22"/>
    <n v="228.18"/>
    <x v="0"/>
    <x v="0"/>
    <s v="June"/>
    <s v="OK"/>
    <s v="OK"/>
    <n v="0.25"/>
    <n v="1"/>
    <n v="228.18000000000006"/>
    <n v="785.40000000000009"/>
    <n v="7"/>
    <s v="East"/>
    <s v="Clean"/>
    <s v="First Class"/>
  </r>
  <r>
    <s v="Ord-2025-10269"/>
    <x v="224"/>
    <d v="2025-08-17T00:00:00"/>
    <s v="Cust-1488"/>
    <s v="Aarav Sharma"/>
    <x v="3"/>
    <x v="0"/>
    <x v="7"/>
    <s v="Ludhiana"/>
    <x v="2"/>
    <x v="5"/>
    <s v="Prime Accessories 367"/>
    <x v="2"/>
    <n v="7"/>
    <n v="632.20000000000005"/>
    <n v="0.25"/>
    <n v="3319.05"/>
    <n v="2124.6"/>
    <n v="1194.45"/>
    <x v="0"/>
    <x v="0"/>
    <s v="August"/>
    <s v="Invalid"/>
    <s v="OK"/>
    <n v="0.25"/>
    <n v="1"/>
    <n v="1194.4500000000003"/>
    <n v="3319.05"/>
    <n v="0"/>
    <s v="North"/>
    <s v="Clean"/>
    <s v="First Class"/>
  </r>
  <r>
    <s v="Ord-2025-10270"/>
    <x v="225"/>
    <d v="2025-12-02T00:00:00"/>
    <s v="Cust-1586"/>
    <s v="Rahul Verma"/>
    <x v="1"/>
    <x v="3"/>
    <x v="0"/>
    <s v="Udaipur"/>
    <x v="1"/>
    <x v="1"/>
    <s v="Max Tables 526"/>
    <x v="1"/>
    <n v="1"/>
    <n v="1925.86"/>
    <n v="0"/>
    <n v="1925.86"/>
    <n v="1321.89"/>
    <n v="603.97"/>
    <x v="0"/>
    <x v="0"/>
    <s v="December"/>
    <s v="OK"/>
    <s v="OK"/>
    <n v="0"/>
    <n v="1"/>
    <n v="603.9699999999998"/>
    <n v="1925.86"/>
    <n v="61"/>
    <s v="West"/>
    <s v="Clean"/>
    <s v="Same Day"/>
  </r>
  <r>
    <s v="Ord-2024-10271"/>
    <x v="200"/>
    <d v="2024-01-13T00:00:00"/>
    <s v="Cust-2487"/>
    <s v="Aditi Sen"/>
    <x v="2"/>
    <x v="0"/>
    <x v="8"/>
    <s v="Noida"/>
    <x v="2"/>
    <x v="12"/>
    <s v="Prime Machines 794"/>
    <x v="1"/>
    <n v="3"/>
    <n v="827.44"/>
    <n v="0"/>
    <n v="2482.3200000000002"/>
    <n v="1520.21"/>
    <n v="962.11"/>
    <x v="0"/>
    <x v="0"/>
    <s v="January"/>
    <s v="Invalid"/>
    <s v="OK"/>
    <n v="0"/>
    <n v="1"/>
    <n v="962.11000000000013"/>
    <n v="2482.3200000000002"/>
    <n v="-323"/>
    <s v="North"/>
    <s v="ivalid"/>
    <s v="Same Day"/>
  </r>
  <r>
    <s v="Ord-2024-10272"/>
    <x v="226"/>
    <d v="2024-12-25T00:00:00"/>
    <s v="Cust-8009"/>
    <s v="Aditi Sen"/>
    <x v="0"/>
    <x v="2"/>
    <x v="2"/>
    <s v="Hyderabad"/>
    <x v="0"/>
    <x v="9"/>
    <s v="Max Binders 927"/>
    <x v="3"/>
    <n v="7"/>
    <n v="1667.75"/>
    <n v="0"/>
    <n v="11674.25"/>
    <n v="9621.19"/>
    <n v="2053.06"/>
    <x v="3"/>
    <x v="1"/>
    <s v="December"/>
    <s v="OK"/>
    <s v="OK"/>
    <n v="0"/>
    <n v="1"/>
    <n v="2053.0599999999995"/>
    <n v="11674.25"/>
    <n v="4"/>
    <s v="South"/>
    <s v="Clean"/>
    <s v="Standard Class"/>
  </r>
  <r>
    <s v="Ord-2024-10273"/>
    <x v="227"/>
    <d v="2024-08-24T00:00:00"/>
    <s v="Cust-7389"/>
    <s v="Arjun Bose"/>
    <x v="0"/>
    <x v="2"/>
    <x v="5"/>
    <s v="Vijayawada"/>
    <x v="1"/>
    <x v="4"/>
    <s v="Eco Chairs 314"/>
    <x v="2"/>
    <n v="7"/>
    <n v="557.21"/>
    <n v="0.1"/>
    <n v="3510.42"/>
    <n v="2191.5"/>
    <n v="1213.48"/>
    <x v="0"/>
    <x v="0"/>
    <s v="August"/>
    <s v="OK"/>
    <s v="OK"/>
    <n v="0.1"/>
    <n v="2"/>
    <n v="1318.9230000000002"/>
    <n v="3510.4230000000002"/>
    <n v="6"/>
    <s v="South"/>
    <s v="Clean"/>
    <s v="First Class"/>
  </r>
  <r>
    <s v="Ord-2025-10274"/>
    <x v="228"/>
    <d v="2025-02-13T00:00:00"/>
    <s v="Cust-8249"/>
    <s v="Isha Nair"/>
    <x v="0"/>
    <x v="1"/>
    <x v="9"/>
    <s v="Patna"/>
    <x v="0"/>
    <x v="0"/>
    <s v="Basic Paper 657"/>
    <x v="0"/>
    <n v="9"/>
    <n v="2521.63"/>
    <n v="0"/>
    <n v="22694.67"/>
    <n v="15405.36"/>
    <n v="7289.31"/>
    <x v="0"/>
    <x v="2"/>
    <s v="February"/>
    <s v="Invalid"/>
    <s v="OK"/>
    <n v="0"/>
    <n v="1"/>
    <n v="7289.3100000000013"/>
    <n v="22694.670000000002"/>
    <n v="0"/>
    <s v="East"/>
    <s v="Clean"/>
    <s v="Second Class"/>
  </r>
  <r>
    <s v="Ord-2024-10275"/>
    <x v="229"/>
    <d v="2024-04-14T00:00:00"/>
    <s v="Cust-4202"/>
    <s v="Rohan Mehta"/>
    <x v="0"/>
    <x v="2"/>
    <x v="13"/>
    <s v="Kochi"/>
    <x v="2"/>
    <x v="6"/>
    <s v="Pro Copiers 406"/>
    <x v="3"/>
    <n v="6"/>
    <n v="4246.71"/>
    <n v="0.15"/>
    <n v="21658.22"/>
    <n v="15490.69"/>
    <n v="6167.53"/>
    <x v="3"/>
    <x v="2"/>
    <s v="April"/>
    <s v="OK"/>
    <s v="OK"/>
    <n v="0.15"/>
    <n v="1"/>
    <n v="6167.5310000000009"/>
    <n v="21658.221000000001"/>
    <n v="7"/>
    <s v="South"/>
    <s v="Clean"/>
    <s v="Standard Class"/>
  </r>
  <r>
    <s v="Ord-2024-10276"/>
    <x v="107"/>
    <d v="2024-02-22T00:00:00"/>
    <s v="Cust-2875"/>
    <s v="Priya Menon"/>
    <x v="1"/>
    <x v="1"/>
    <x v="6"/>
    <s v="Kolkata"/>
    <x v="1"/>
    <x v="3"/>
    <s v="Eco Furnishings 678"/>
    <x v="1"/>
    <n v="1"/>
    <n v="980.51"/>
    <n v="0"/>
    <n v="980.51"/>
    <n v="660.92"/>
    <n v="319.58999999999997"/>
    <x v="0"/>
    <x v="0"/>
    <s v="February"/>
    <s v="OK"/>
    <s v="OK"/>
    <n v="0"/>
    <n v="1"/>
    <n v="319.59000000000003"/>
    <n v="980.51"/>
    <n v="7"/>
    <s v="East"/>
    <s v="Clean"/>
    <s v="Same Day"/>
  </r>
  <r>
    <s v="Ord-2024-10277"/>
    <x v="167"/>
    <d v="2024-01-23T00:00:00"/>
    <s v="Cust-7039"/>
    <s v="Aarav Sharma"/>
    <x v="1"/>
    <x v="4"/>
    <x v="10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s v="January"/>
    <s v="OK"/>
    <s v="Negative Discount"/>
    <n v="-0.14000000000000001"/>
    <n v="1"/>
    <n v="14784.535200000004"/>
    <n v="23198.065200000005"/>
    <n v="1"/>
    <s v="Unknown"/>
    <s v="ivalid"/>
    <s v="Second Class"/>
  </r>
  <r>
    <s v="Ord-2025-10278"/>
    <x v="196"/>
    <d v="2025-06-04T00:00:00"/>
    <s v="Cust-2819"/>
    <s v="Isha Nair"/>
    <x v="2"/>
    <x v="0"/>
    <x v="16"/>
    <s v="Gurugram"/>
    <x v="2"/>
    <x v="5"/>
    <s v="Elite Accessories 291"/>
    <x v="0"/>
    <n v="1"/>
    <n v="2133.73"/>
    <n v="0.15"/>
    <n v="2008.39"/>
    <n v="1002.57"/>
    <n v="811.1"/>
    <x v="2"/>
    <x v="1"/>
    <s v="June"/>
    <s v="OK"/>
    <s v="OK"/>
    <n v="0.15"/>
    <n v="1"/>
    <n v="811.1004999999999"/>
    <n v="1813.6704999999999"/>
    <n v="59"/>
    <s v="North"/>
    <s v="Clean"/>
    <s v="Second Class"/>
  </r>
  <r>
    <s v="Ord-2025-10279"/>
    <x v="230"/>
    <d v="2025-03-14T00:00:00"/>
    <s v="Cust-8242"/>
    <s v="Priya Menon"/>
    <x v="1"/>
    <x v="0"/>
    <x v="18"/>
    <s v="New Delhi"/>
    <x v="2"/>
    <x v="5"/>
    <s v="Pro Accessories 207"/>
    <x v="1"/>
    <n v="1"/>
    <n v="3979.64"/>
    <n v="0.05"/>
    <n v="3780.66"/>
    <n v="2148.31"/>
    <n v="1632.35"/>
    <x v="0"/>
    <x v="2"/>
    <s v="March"/>
    <s v="OK"/>
    <s v="OK"/>
    <n v="0.05"/>
    <n v="1"/>
    <n v="1632.348"/>
    <n v="3780.6579999999999"/>
    <n v="7"/>
    <s v="North"/>
    <s v="Clean"/>
    <s v="Same Day"/>
  </r>
  <r>
    <s v="Ord-2024-10280"/>
    <x v="65"/>
    <d v="2024-04-10T00:00:00"/>
    <s v="Cust-4571"/>
    <s v="Rohan Mehta"/>
    <x v="1"/>
    <x v="3"/>
    <x v="3"/>
    <s v="Mumbai"/>
    <x v="0"/>
    <x v="8"/>
    <s v="Max Storage 564"/>
    <x v="2"/>
    <n v="1"/>
    <n v="4359.12"/>
    <n v="0.05"/>
    <n v="4141.16"/>
    <n v="2754.17"/>
    <n v="1386.99"/>
    <x v="0"/>
    <x v="0"/>
    <s v="April"/>
    <s v="Invalid"/>
    <s v="OK"/>
    <n v="0.05"/>
    <n v="1"/>
    <n v="1386.9939999999997"/>
    <n v="4141.1639999999998"/>
    <n v="-147"/>
    <s v="West"/>
    <s v="ivalid"/>
    <s v="First Class"/>
  </r>
  <r>
    <s v="Ord-2024-10281"/>
    <x v="61"/>
    <d v="2024-12-26T00:00:00"/>
    <s v="Cust-4098"/>
    <s v="Aditi Sen"/>
    <x v="0"/>
    <x v="2"/>
    <x v="11"/>
    <s v="Bengaluru"/>
    <x v="2"/>
    <x v="6"/>
    <s v="Prime Copiers 961"/>
    <x v="3"/>
    <n v="9"/>
    <n v="993.67"/>
    <n v="0"/>
    <n v="8943.0300000000007"/>
    <n v="5165.38"/>
    <n v="3777.65"/>
    <x v="0"/>
    <x v="0"/>
    <s v="December"/>
    <s v="OK"/>
    <s v="OK"/>
    <n v="0"/>
    <n v="1"/>
    <n v="3777.6499999999987"/>
    <n v="8943.0299999999988"/>
    <n v="3"/>
    <s v="South"/>
    <s v="Clean"/>
    <s v="Standard Class"/>
  </r>
  <r>
    <s v="Ord-2025-10282"/>
    <x v="231"/>
    <d v="2025-07-27T00:00:00"/>
    <s v="Cust-2052"/>
    <s v="Kabir Singh"/>
    <x v="0"/>
    <x v="1"/>
    <x v="15"/>
    <s v="Ranchi"/>
    <x v="0"/>
    <x v="9"/>
    <s v="Basic Binders 637"/>
    <x v="0"/>
    <n v="6"/>
    <n v="3438.38"/>
    <n v="0.2"/>
    <n v="16504.22"/>
    <n v="11262.71"/>
    <n v="5241.51"/>
    <x v="0"/>
    <x v="0"/>
    <s v="July"/>
    <s v="OK"/>
    <s v="OK"/>
    <n v="0.2"/>
    <n v="1"/>
    <n v="5241.5139999999992"/>
    <n v="16504.223999999998"/>
    <n v="2"/>
    <s v="East"/>
    <s v="Clean"/>
    <s v="Second Class"/>
  </r>
  <r>
    <s v="Ord-2024-10283"/>
    <x v="78"/>
    <d v="2024-02-10T00:00:00"/>
    <s v="Cust-9445"/>
    <s v="Karan Malhotra"/>
    <x v="3"/>
    <x v="1"/>
    <x v="10"/>
    <s v="Guwahati"/>
    <x v="1"/>
    <x v="1"/>
    <s v="Classic Tables 811"/>
    <x v="0"/>
    <n v="2"/>
    <n v="2298"/>
    <n v="0"/>
    <n v="4596"/>
    <n v="3220.33"/>
    <n v="1375.67"/>
    <x v="0"/>
    <x v="0"/>
    <s v="February"/>
    <s v="OK"/>
    <s v="OK"/>
    <n v="0"/>
    <n v="1"/>
    <n v="1375.67"/>
    <n v="4596"/>
    <n v="31"/>
    <s v="East"/>
    <s v="Clean"/>
    <s v="Second Class"/>
  </r>
  <r>
    <s v="Ord-2025-10284"/>
    <x v="232"/>
    <d v="2025-03-20T00:00:00"/>
    <s v="Cust-6568"/>
    <s v="Vikram Iyer"/>
    <x v="0"/>
    <x v="3"/>
    <x v="3"/>
    <s v="Mumbai"/>
    <x v="1"/>
    <x v="3"/>
    <s v="Classic Furnishings 819"/>
    <x v="2"/>
    <n v="1"/>
    <n v="1814.01"/>
    <n v="0"/>
    <n v="1814.01"/>
    <n v="1033.47"/>
    <n v="780.54"/>
    <x v="0"/>
    <x v="0"/>
    <s v="March"/>
    <s v="OK"/>
    <s v="OK"/>
    <n v="0"/>
    <n v="1"/>
    <n v="780.54"/>
    <n v="1814.01"/>
    <n v="7"/>
    <s v="West"/>
    <s v="Clean"/>
    <s v="First Class"/>
  </r>
  <r>
    <s v="Ord-2024-10285"/>
    <x v="44"/>
    <d v="2024-12-14T00:00:00"/>
    <s v="Cust-2076"/>
    <s v="Karan Malhotra"/>
    <x v="0"/>
    <x v="1"/>
    <x v="1"/>
    <s v="Bhubaneswar"/>
    <x v="1"/>
    <x v="1"/>
    <s v="Prime Tables 542"/>
    <x v="1"/>
    <n v="3"/>
    <n v="1576.92"/>
    <n v="0"/>
    <n v="4730.76"/>
    <n v="3139.73"/>
    <n v="1591.03"/>
    <x v="0"/>
    <x v="2"/>
    <s v="December"/>
    <s v="OK"/>
    <s v="OK"/>
    <n v="0"/>
    <n v="1"/>
    <n v="1591.0300000000002"/>
    <n v="4730.76"/>
    <n v="124"/>
    <s v="East"/>
    <s v="Clean"/>
    <s v="Same Day"/>
  </r>
  <r>
    <s v="Ord-2025-10286"/>
    <x v="233"/>
    <d v="2025-08-20T00:00:00"/>
    <s v="Cust-5610"/>
    <s v="Neha Gupta"/>
    <x v="3"/>
    <x v="0"/>
    <x v="0"/>
    <s v="Jaipur"/>
    <x v="0"/>
    <x v="8"/>
    <s v="Basic Storage 771"/>
    <x v="3"/>
    <n v="9"/>
    <n v="4081.77"/>
    <n v="0"/>
    <n v="36735.93"/>
    <n v="30820.84"/>
    <n v="5915.09"/>
    <x v="0"/>
    <x v="0"/>
    <s v="August"/>
    <s v="OK"/>
    <s v="OK"/>
    <n v="0"/>
    <n v="1"/>
    <n v="5915.09"/>
    <n v="36735.93"/>
    <n v="5"/>
    <s v="North"/>
    <s v="Clean"/>
    <s v="Standard Class"/>
  </r>
  <r>
    <s v="Ord-2024-10287"/>
    <x v="234"/>
    <d v="2024-02-03T00:00:00"/>
    <s v="Cust-5823"/>
    <s v="Priya Menon"/>
    <x v="1"/>
    <x v="0"/>
    <x v="18"/>
    <s v="New Delhi"/>
    <x v="1"/>
    <x v="3"/>
    <s v="Pro Furnishings 848"/>
    <x v="2"/>
    <n v="7"/>
    <n v="701.8"/>
    <n v="0.1"/>
    <n v="4421.34"/>
    <n v="2489.98"/>
    <n v="1931.36"/>
    <x v="2"/>
    <x v="2"/>
    <s v="February"/>
    <s v="Invalid"/>
    <s v="OK"/>
    <n v="0.1"/>
    <n v="1"/>
    <n v="1931.3599999999992"/>
    <n v="4421.3399999999992"/>
    <n v="-25"/>
    <s v="North"/>
    <s v="ivalid"/>
    <s v="First Class"/>
  </r>
  <r>
    <s v="Ord-2024-10288"/>
    <x v="83"/>
    <d v="2024-09-07T00:00:00"/>
    <s v="Cust-7095"/>
    <s v="Neha Gupta"/>
    <x v="1"/>
    <x v="2"/>
    <x v="17"/>
    <s v="Chennai"/>
    <x v="2"/>
    <x v="6"/>
    <s v="Prime Copiers 924"/>
    <x v="3"/>
    <n v="3"/>
    <n v="2555.66"/>
    <n v="0.15"/>
    <n v="6516.93"/>
    <n v="4511.54"/>
    <n v="2005.39"/>
    <x v="0"/>
    <x v="1"/>
    <s v="September"/>
    <s v="OK"/>
    <s v="OK"/>
    <n v="0.15"/>
    <n v="1"/>
    <n v="2005.3929999999991"/>
    <n v="6516.9329999999991"/>
    <n v="121"/>
    <s v="South"/>
    <s v="Clean"/>
    <s v="Standard Class"/>
  </r>
  <r>
    <s v="Ord-2024-10289"/>
    <x v="96"/>
    <d v="2024-06-24T00:00:00"/>
    <s v="Cust-4805"/>
    <s v="Rohan Mehta"/>
    <x v="1"/>
    <x v="1"/>
    <x v="9"/>
    <s v="Patna"/>
    <x v="0"/>
    <x v="9"/>
    <s v="Classic Binders 721"/>
    <x v="1"/>
    <n v="2"/>
    <n v="4359.8999999999996"/>
    <n v="0.15"/>
    <n v="7411.83"/>
    <n v="4904.63"/>
    <n v="2507.1999999999998"/>
    <x v="0"/>
    <x v="0"/>
    <s v="June"/>
    <s v="Invalid"/>
    <s v="OK"/>
    <n v="0.15"/>
    <n v="1"/>
    <n v="2507.1999999999989"/>
    <n v="7411.829999999999"/>
    <n v="0"/>
    <s v="East"/>
    <s v="Clean"/>
    <s v="Same Day"/>
  </r>
  <r>
    <s v="Ord-2025-10290"/>
    <x v="235"/>
    <d v="2025-06-27T00:00:00"/>
    <s v="Cust-9114"/>
    <s v="Karan Malhotra"/>
    <x v="3"/>
    <x v="2"/>
    <x v="17"/>
    <s v="Chennai"/>
    <x v="1"/>
    <x v="10"/>
    <s v="Basic Bookcases 823"/>
    <x v="2"/>
    <n v="2"/>
    <n v="4346.6899999999996"/>
    <n v="0.05"/>
    <n v="8258.7099999999991"/>
    <n v="7018.97"/>
    <n v="1239.74"/>
    <x v="0"/>
    <x v="0"/>
    <s v="June"/>
    <s v="OK"/>
    <s v="OK"/>
    <n v="0.05"/>
    <n v="1"/>
    <n v="1239.7409999999991"/>
    <n v="8258.7109999999993"/>
    <n v="8"/>
    <s v="South"/>
    <s v="Clean"/>
    <s v="First Class"/>
  </r>
  <r>
    <s v="Ord-2025-10291"/>
    <x v="66"/>
    <d v="2025-08-26T00:00:00"/>
    <s v="Cust-8557"/>
    <s v="Diya Patel"/>
    <x v="3"/>
    <x v="1"/>
    <x v="15"/>
    <s v="Ranchi"/>
    <x v="1"/>
    <x v="1"/>
    <s v="Classic Tables 178"/>
    <x v="3"/>
    <n v="1"/>
    <n v="1842.63"/>
    <n v="0.1"/>
    <n v="1658.37"/>
    <n v="971.12"/>
    <n v="687.25"/>
    <x v="0"/>
    <x v="0"/>
    <s v="August"/>
    <s v="OK"/>
    <s v="OK"/>
    <n v="0.1"/>
    <n v="1"/>
    <n v="687.24700000000018"/>
    <n v="1658.3670000000002"/>
    <n v="4"/>
    <s v="East"/>
    <s v="Clean"/>
    <s v="Standard Class"/>
  </r>
  <r>
    <s v="Ord-2024-10292"/>
    <x v="236"/>
    <d v="2024-04-10T00:00:00"/>
    <s v="Cust-2860"/>
    <s v="Priya Menon"/>
    <x v="3"/>
    <x v="0"/>
    <x v="0"/>
    <s v="Jaipur"/>
    <x v="0"/>
    <x v="9"/>
    <s v="Eco Binders 153"/>
    <x v="3"/>
    <n v="4"/>
    <n v="3228.66"/>
    <n v="0.25"/>
    <n v="9685.98"/>
    <n v="7730.04"/>
    <n v="1955.94"/>
    <x v="0"/>
    <x v="0"/>
    <s v="April"/>
    <s v="Invalid"/>
    <s v="OK"/>
    <n v="0.25"/>
    <n v="1"/>
    <n v="1955.9399999999996"/>
    <n v="9685.98"/>
    <n v="-24"/>
    <s v="North"/>
    <s v="ivalid"/>
    <s v="Standard Class"/>
  </r>
  <r>
    <s v="Ord-2025-10293"/>
    <x v="237"/>
    <d v="2025-03-03T00:00:00"/>
    <s v="Cust-7837"/>
    <s v="Kabir Singh"/>
    <x v="3"/>
    <x v="0"/>
    <x v="16"/>
    <s v="Gurugram"/>
    <x v="0"/>
    <x v="2"/>
    <s v="Classic Art 183"/>
    <x v="1"/>
    <n v="9"/>
    <n v="3748.95"/>
    <n v="0"/>
    <n v="33740.550000000003"/>
    <n v="24621.89"/>
    <n v="9118.66"/>
    <x v="2"/>
    <x v="1"/>
    <s v="March"/>
    <s v="OK"/>
    <s v="OK"/>
    <n v="0"/>
    <n v="1"/>
    <n v="9118.6599999999962"/>
    <n v="33740.549999999996"/>
    <n v="3"/>
    <s v="North"/>
    <s v="Clean"/>
    <s v="Same Day"/>
  </r>
  <r>
    <s v="Ord-2024-10294"/>
    <x v="238"/>
    <d v="2024-03-11T00:00:00"/>
    <s v="Cust-7010"/>
    <s v="Arjun Bose"/>
    <x v="3"/>
    <x v="2"/>
    <x v="2"/>
    <s v="Hyderabad"/>
    <x v="2"/>
    <x v="11"/>
    <s v="Pro Phones 455"/>
    <x v="2"/>
    <n v="2"/>
    <n v="4401.51"/>
    <n v="0.65"/>
    <n v="8362.8700000000008"/>
    <n v="6541.04"/>
    <n v="1821.83"/>
    <x v="0"/>
    <x v="0"/>
    <s v="March"/>
    <s v="Invalid"/>
    <s v="OK"/>
    <n v="0.65"/>
    <n v="1"/>
    <n v="-3459.9830000000002"/>
    <n v="3081.0569999999998"/>
    <n v="-114"/>
    <s v="South"/>
    <s v="ivalid"/>
    <s v="First Class"/>
  </r>
  <r>
    <s v="Ord-2025-10295"/>
    <x v="73"/>
    <d v="2025-07-22T00:00:00"/>
    <s v="Cust-4755"/>
    <s v="Priya Menon"/>
    <x v="0"/>
    <x v="1"/>
    <x v="1"/>
    <s v="Bhubaneswar"/>
    <x v="2"/>
    <x v="11"/>
    <s v="Basic Phones 326"/>
    <x v="0"/>
    <n v="6"/>
    <n v="4159.33"/>
    <n v="0.25"/>
    <n v="18716.990000000002"/>
    <n v="12282.43"/>
    <n v="6434.56"/>
    <x v="0"/>
    <x v="2"/>
    <s v="July"/>
    <s v="OK"/>
    <s v="OK"/>
    <n v="0.25"/>
    <n v="1"/>
    <n v="6434.5550000000003"/>
    <n v="18716.985000000001"/>
    <n v="6"/>
    <s v="East"/>
    <s v="Clean"/>
    <s v="Second Class"/>
  </r>
  <r>
    <s v="Ord-2025-10296"/>
    <x v="211"/>
    <d v="2025-06-28T00:00:00"/>
    <s v="Cust-6778"/>
    <s v="Aditi Sen"/>
    <x v="1"/>
    <x v="1"/>
    <x v="10"/>
    <s v="Guwahati"/>
    <x v="0"/>
    <x v="9"/>
    <s v="Max Binders 587"/>
    <x v="3"/>
    <n v="3"/>
    <n v="3476.05"/>
    <n v="0.1"/>
    <n v="9385.34"/>
    <n v="5828.54"/>
    <n v="3556.8"/>
    <x v="0"/>
    <x v="0"/>
    <s v="June"/>
    <s v="OK"/>
    <s v="OK"/>
    <n v="0.1"/>
    <n v="1"/>
    <n v="3556.795000000001"/>
    <n v="9385.3350000000009"/>
    <n v="3"/>
    <s v="East"/>
    <s v="Clean"/>
    <s v="Standard Class"/>
  </r>
  <r>
    <s v="Ord-2025-10297"/>
    <x v="239"/>
    <d v="2025-05-26T00:00:00"/>
    <s v="Cust-7629"/>
    <s v="Aditi Sen"/>
    <x v="3"/>
    <x v="0"/>
    <x v="16"/>
    <s v="Gurugram"/>
    <x v="1"/>
    <x v="3"/>
    <s v="Basic Furnishings 617"/>
    <x v="1"/>
    <n v="6"/>
    <n v="3495.41"/>
    <n v="0.15"/>
    <n v="17826.59"/>
    <n v="10855.35"/>
    <n v="6971.24"/>
    <x v="0"/>
    <x v="0"/>
    <s v="May"/>
    <s v="OK"/>
    <s v="OK"/>
    <n v="0.15"/>
    <n v="1"/>
    <n v="6971.241"/>
    <n v="17826.591"/>
    <n v="2"/>
    <s v="North"/>
    <s v="Clean"/>
    <s v="Same Day"/>
  </r>
  <r>
    <s v="Ord-2024-10298"/>
    <x v="98"/>
    <d v="2024-11-06T00:00:00"/>
    <s v="Cust-6724"/>
    <s v="Sneha Kapoor"/>
    <x v="2"/>
    <x v="2"/>
    <x v="17"/>
    <s v="Chennai"/>
    <x v="2"/>
    <x v="6"/>
    <s v="Prime Copiers 669"/>
    <x v="1"/>
    <n v="6"/>
    <n v="1169.92"/>
    <n v="0.15"/>
    <n v="5966.59"/>
    <n v="3994.72"/>
    <n v="1971.87"/>
    <x v="0"/>
    <x v="0"/>
    <s v="November"/>
    <s v="OK"/>
    <s v="OK"/>
    <n v="0.15"/>
    <n v="1"/>
    <n v="1971.8720000000008"/>
    <n v="5966.5920000000006"/>
    <n v="8"/>
    <s v="South"/>
    <s v="Clean"/>
    <s v="Same Day"/>
  </r>
  <r>
    <s v="Ord-2025-10299"/>
    <x v="85"/>
    <d v="2025-01-26T00:00:00"/>
    <s v="Cust-2141"/>
    <s v="Isha Nair"/>
    <x v="0"/>
    <x v="2"/>
    <x v="13"/>
    <s v="Kochi"/>
    <x v="2"/>
    <x v="6"/>
    <s v="Eco Copiers 894"/>
    <x v="2"/>
    <n v="7"/>
    <n v="348.49"/>
    <n v="0.2"/>
    <n v="1951.54"/>
    <n v="1609.95"/>
    <n v="341.59"/>
    <x v="3"/>
    <x v="2"/>
    <s v="January"/>
    <s v="OK"/>
    <s v="OK"/>
    <n v="0.2"/>
    <n v="1"/>
    <n v="341.59400000000028"/>
    <n v="1951.5440000000003"/>
    <n v="3"/>
    <s v="South"/>
    <s v="Clean"/>
    <s v="First Class"/>
  </r>
  <r>
    <s v="Ord-2024-10300"/>
    <x v="240"/>
    <d v="2024-11-12T00:00:00"/>
    <s v="Cust-7264"/>
    <s v="Rahul Verma"/>
    <x v="1"/>
    <x v="3"/>
    <x v="12"/>
    <s v="Ahmedabad"/>
    <x v="2"/>
    <x v="5"/>
    <s v="Max Accessories 145"/>
    <x v="3"/>
    <n v="7"/>
    <n v="1719.05"/>
    <n v="0.1"/>
    <n v="10830.02"/>
    <n v="7055.31"/>
    <n v="3774.71"/>
    <x v="0"/>
    <x v="0"/>
    <s v="November"/>
    <s v="OK"/>
    <s v="OK"/>
    <n v="0.1"/>
    <n v="1"/>
    <n v="3774.7050000000008"/>
    <n v="10830.015000000001"/>
    <n v="6"/>
    <s v="West"/>
    <s v="Clean"/>
    <s v="Standard Class"/>
  </r>
  <r>
    <s v="Ord-2024-10301"/>
    <x v="241"/>
    <d v="2024-04-23T00:00:00"/>
    <s v="Cust-2668"/>
    <s v="Diya Patel"/>
    <x v="1"/>
    <x v="0"/>
    <x v="7"/>
    <s v="Ludhiana"/>
    <x v="2"/>
    <x v="5"/>
    <s v="Classic Accessories 126"/>
    <x v="0"/>
    <n v="9"/>
    <n v="3893.74"/>
    <n v="0.1"/>
    <n v="31539.29"/>
    <n v="22100.14"/>
    <n v="9439.15"/>
    <x v="0"/>
    <x v="0"/>
    <s v="April"/>
    <s v="OK"/>
    <s v="OK"/>
    <n v="0.1"/>
    <n v="1"/>
    <n v="9439.1539999999986"/>
    <n v="31539.293999999998"/>
    <n v="8"/>
    <s v="North"/>
    <s v="Clean"/>
    <s v="Second Class"/>
  </r>
  <r>
    <s v="Ord-2025-10302"/>
    <x v="223"/>
    <d v="2025-06-01T00:00:00"/>
    <s v="Cust-5599"/>
    <s v="Isha Nair"/>
    <x v="3"/>
    <x v="1"/>
    <x v="9"/>
    <s v="Patna"/>
    <x v="2"/>
    <x v="11"/>
    <s v="Elite Phones 202"/>
    <x v="1"/>
    <n v="4"/>
    <n v="1654.11"/>
    <n v="0.05"/>
    <n v="6285.62"/>
    <n v="3705.38"/>
    <n v="2580.2399999999998"/>
    <x v="0"/>
    <x v="0"/>
    <s v="June"/>
    <s v="OK"/>
    <s v="OK"/>
    <n v="0.05"/>
    <n v="1"/>
    <n v="2580.2379999999994"/>
    <n v="6285.6179999999995"/>
    <n v="4"/>
    <s v="East"/>
    <s v="Clean"/>
    <s v="Same Day"/>
  </r>
  <r>
    <s v="Ord-2025-10303"/>
    <x v="210"/>
    <d v="2025-06-12T00:00:00"/>
    <s v="Cust-1623"/>
    <s v="Neha Gupta"/>
    <x v="0"/>
    <x v="3"/>
    <x v="14"/>
    <s v="Panaji"/>
    <x v="0"/>
    <x v="8"/>
    <s v="Elite Storage 535"/>
    <x v="1"/>
    <n v="2"/>
    <n v="2703.28"/>
    <n v="0.25"/>
    <n v="4054.92"/>
    <n v="2424.83"/>
    <n v="1630.09"/>
    <x v="0"/>
    <x v="0"/>
    <s v="June"/>
    <s v="OK"/>
    <s v="OK"/>
    <n v="0.25"/>
    <n v="1"/>
    <n v="1630.0900000000001"/>
    <n v="4054.92"/>
    <n v="8"/>
    <s v="West"/>
    <s v="Clean"/>
    <s v="Same Day"/>
  </r>
  <r>
    <s v="Ord-2024-10304"/>
    <x v="164"/>
    <d v="2024-06-28T00:00:00"/>
    <s v="Cust-9035"/>
    <s v="Diya Patel"/>
    <x v="3"/>
    <x v="3"/>
    <x v="12"/>
    <s v="Ahmedabad"/>
    <x v="1"/>
    <x v="4"/>
    <s v="Elite Chairs 107"/>
    <x v="3"/>
    <n v="2"/>
    <n v="1313.14"/>
    <n v="0.1"/>
    <n v="2363.65"/>
    <n v="1876.1"/>
    <n v="487.55"/>
    <x v="2"/>
    <x v="2"/>
    <s v="June"/>
    <s v="OK"/>
    <s v="OK"/>
    <n v="0.1"/>
    <n v="1"/>
    <n v="487.55200000000013"/>
    <n v="2363.652"/>
    <n v="5"/>
    <s v="West"/>
    <s v="Clean"/>
    <s v="Standard Class"/>
  </r>
  <r>
    <s v="Ord-2024-10305"/>
    <x v="242"/>
    <d v="2024-03-13T00:00:00"/>
    <s v="Cust-6286"/>
    <s v="Karan Malhotra"/>
    <x v="0"/>
    <x v="0"/>
    <x v="7"/>
    <s v="Ludhiana"/>
    <x v="1"/>
    <x v="3"/>
    <s v="Pro Furnishings 991"/>
    <x v="3"/>
    <n v="6"/>
    <n v="2403.0500000000002"/>
    <n v="0.1"/>
    <n v="12976.47"/>
    <n v="10019.98"/>
    <n v="2956.49"/>
    <x v="0"/>
    <x v="0"/>
    <s v="March"/>
    <s v="Invalid"/>
    <s v="OK"/>
    <n v="0.1"/>
    <n v="1"/>
    <n v="2956.4900000000016"/>
    <n v="12976.470000000001"/>
    <n v="-82"/>
    <s v="North"/>
    <s v="ivalid"/>
    <s v="Standard Class"/>
  </r>
  <r>
    <s v="Ord-2024-10306"/>
    <x v="243"/>
    <d v="2024-02-05T00:00:00"/>
    <s v="Cust-7246"/>
    <s v="Ananya Rao"/>
    <x v="0"/>
    <x v="1"/>
    <x v="10"/>
    <s v="Guwahati"/>
    <x v="1"/>
    <x v="4"/>
    <s v="Eco Chairs 105"/>
    <x v="2"/>
    <n v="4"/>
    <n v="4156.0600000000004"/>
    <n v="0.55000000000000004"/>
    <n v="13299.39"/>
    <n v="9851.91"/>
    <n v="3447.48"/>
    <x v="0"/>
    <x v="1"/>
    <s v="February"/>
    <s v="OK"/>
    <s v="OK"/>
    <n v="0.55000000000000004"/>
    <n v="1"/>
    <n v="-2371.0019999999995"/>
    <n v="7480.9080000000004"/>
    <n v="31"/>
    <s v="East"/>
    <s v="Clean"/>
    <s v="First Class"/>
  </r>
  <r>
    <s v="Ord-2025-10307"/>
    <x v="143"/>
    <d v="2025-02-23T00:00:00"/>
    <s v="Cust-2589"/>
    <s v="Aarav Sharma"/>
    <x v="0"/>
    <x v="0"/>
    <x v="0"/>
    <s v="Jaipur"/>
    <x v="2"/>
    <x v="11"/>
    <s v="Pro Phones 530"/>
    <x v="0"/>
    <n v="4"/>
    <n v="3673.11"/>
    <n v="0"/>
    <n v="14692.44"/>
    <n v="10082.19"/>
    <n v="4610.25"/>
    <x v="0"/>
    <x v="0"/>
    <s v="February"/>
    <s v="OK"/>
    <s v="OK"/>
    <n v="0"/>
    <n v="1"/>
    <n v="4610.25"/>
    <n v="14692.44"/>
    <n v="3"/>
    <s v="North"/>
    <s v="Clean"/>
    <s v="Second Class"/>
  </r>
  <r>
    <s v="Ord-2025-10308"/>
    <x v="93"/>
    <d v="2025-07-19T00:00:00"/>
    <s v="Cust-4153"/>
    <s v="Ananya Rao"/>
    <x v="2"/>
    <x v="0"/>
    <x v="8"/>
    <s v="Noida"/>
    <x v="1"/>
    <x v="1"/>
    <s v="Basic Tables 911"/>
    <x v="2"/>
    <n v="9"/>
    <n v="4093.04"/>
    <n v="0.2"/>
    <n v="29469.89"/>
    <n v="18935.509999999998"/>
    <n v="10534.38"/>
    <x v="2"/>
    <x v="1"/>
    <s v="July"/>
    <s v="Invalid"/>
    <s v="OK"/>
    <n v="0.2"/>
    <n v="1"/>
    <n v="10534.378000000004"/>
    <n v="29469.888000000003"/>
    <n v="-141"/>
    <s v="North"/>
    <s v="ivalid"/>
    <s v="First Class"/>
  </r>
  <r>
    <s v="Ord-2025-10309"/>
    <x v="244"/>
    <d v="2025-06-19T00:00:00"/>
    <s v="Cust-6727"/>
    <s v="Rohan Mehta"/>
    <x v="0"/>
    <x v="0"/>
    <x v="0"/>
    <s v="Jaipur"/>
    <x v="1"/>
    <x v="1"/>
    <s v="Classic Tables 224"/>
    <x v="2"/>
    <n v="4"/>
    <n v="731.57"/>
    <n v="0.2"/>
    <n v="2341.02"/>
    <n v="1565.49"/>
    <n v="775.53"/>
    <x v="0"/>
    <x v="0"/>
    <s v="June"/>
    <s v="OK"/>
    <s v="OK"/>
    <n v="0.2"/>
    <n v="1"/>
    <n v="775.53400000000033"/>
    <n v="2341.0240000000003"/>
    <n v="6"/>
    <s v="North"/>
    <s v="Clean"/>
    <s v="First Class"/>
  </r>
  <r>
    <s v="Ord-2024-10310"/>
    <x v="56"/>
    <d v="2024-07-22T00:00:00"/>
    <s v="Cust-8860"/>
    <s v="Ananya Rao"/>
    <x v="0"/>
    <x v="2"/>
    <x v="17"/>
    <s v="Chennai"/>
    <x v="1"/>
    <x v="1"/>
    <s v="Prime Tables 214"/>
    <x v="2"/>
    <n v="7"/>
    <n v="2060.73"/>
    <n v="0.1"/>
    <n v="12982.6"/>
    <n v="7246.36"/>
    <n v="5736.24"/>
    <x v="0"/>
    <x v="1"/>
    <s v="July"/>
    <s v="OK"/>
    <s v="OK"/>
    <n v="0.1"/>
    <n v="1"/>
    <n v="5736.2390000000005"/>
    <n v="12982.599"/>
    <n v="2"/>
    <s v="South"/>
    <s v="Clean"/>
    <s v="First Class"/>
  </r>
  <r>
    <s v="Ord-2024-10311"/>
    <x v="245"/>
    <d v="2024-07-08T00:00:00"/>
    <s v="Cust-3784"/>
    <s v="Rohan Mehta"/>
    <x v="1"/>
    <x v="2"/>
    <x v="17"/>
    <s v="Chennai"/>
    <x v="2"/>
    <x v="12"/>
    <s v="Max Machines 988"/>
    <x v="2"/>
    <n v="8"/>
    <n v="2034.25"/>
    <n v="0"/>
    <n v="16274"/>
    <n v="9424.25"/>
    <n v="6849.75"/>
    <x v="0"/>
    <x v="0"/>
    <s v="July"/>
    <s v="OK"/>
    <s v="OK"/>
    <n v="0"/>
    <n v="1"/>
    <n v="6849.75"/>
    <n v="16274"/>
    <n v="4"/>
    <s v="South"/>
    <s v="Clean"/>
    <s v="First Class"/>
  </r>
  <r>
    <s v="Ord-2024-10312"/>
    <x v="246"/>
    <d v="2024-05-02T00:00:00"/>
    <s v="Cust-3545"/>
    <s v="Mira Das"/>
    <x v="2"/>
    <x v="2"/>
    <x v="11"/>
    <s v="Bengaluru"/>
    <x v="0"/>
    <x v="9"/>
    <s v="Max Binders 425"/>
    <x v="0"/>
    <n v="5"/>
    <n v="554.04"/>
    <n v="0.1"/>
    <n v="2493.1799999999998"/>
    <n v="1764"/>
    <n v="729.18"/>
    <x v="0"/>
    <x v="0"/>
    <s v="May"/>
    <s v="OK"/>
    <s v="OK"/>
    <n v="0.1"/>
    <n v="1"/>
    <n v="729.17999999999984"/>
    <n v="2493.1799999999998"/>
    <n v="5"/>
    <s v="South"/>
    <s v="Clean"/>
    <s v="Second Class"/>
  </r>
  <r>
    <s v="Ord-2024-10313"/>
    <x v="247"/>
    <d v="2024-08-04T00:00:00"/>
    <s v="Cust-4851"/>
    <s v="Karan Malhotra"/>
    <x v="1"/>
    <x v="1"/>
    <x v="10"/>
    <s v="Guwahati"/>
    <x v="2"/>
    <x v="11"/>
    <s v="Elite Phones 679"/>
    <x v="3"/>
    <n v="8"/>
    <n v="2614.7399999999998"/>
    <m/>
    <n v="15688.44"/>
    <n v="10047.33"/>
    <n v="5641.11"/>
    <x v="0"/>
    <x v="1"/>
    <s v="August"/>
    <s v="OK"/>
    <s v="OK"/>
    <n v="0"/>
    <n v="1"/>
    <n v="10870.589999999998"/>
    <n v="20917.919999999998"/>
    <n v="4"/>
    <s v="East"/>
    <s v="Clean"/>
    <s v="Standard Class"/>
  </r>
  <r>
    <s v="Ord-2025-10314"/>
    <x v="51"/>
    <d v="2025-05-31T00:00:00"/>
    <s v="Cust-4770"/>
    <s v="Rahul Verma"/>
    <x v="2"/>
    <x v="0"/>
    <x v="8"/>
    <s v="Noida"/>
    <x v="2"/>
    <x v="11"/>
    <s v="Pro Phones 764"/>
    <x v="2"/>
    <n v="8"/>
    <n v="2081.4299999999998"/>
    <n v="0.25"/>
    <n v="12488.58"/>
    <n v="10717.4"/>
    <n v="1771.18"/>
    <x v="1"/>
    <x v="1"/>
    <s v="May"/>
    <s v="OK"/>
    <s v="OK"/>
    <n v="0.25"/>
    <n v="1"/>
    <n v="1771.1799999999985"/>
    <n v="12488.579999999998"/>
    <n v="1"/>
    <s v="North"/>
    <s v="Clean"/>
    <s v="First Class"/>
  </r>
  <r>
    <s v="Ord-2025-10315"/>
    <x v="174"/>
    <d v="2025-05-20T00:00:00"/>
    <s v="Cust-1945"/>
    <s v="Isha Nair"/>
    <x v="2"/>
    <x v="3"/>
    <x v="4"/>
    <s v="Indore"/>
    <x v="0"/>
    <x v="7"/>
    <s v="Elite Labels 544"/>
    <x v="3"/>
    <n v="9"/>
    <n v="847.76"/>
    <n v="0.15"/>
    <n v="6485.36"/>
    <n v="5376.17"/>
    <n v="1109.19"/>
    <x v="3"/>
    <x v="2"/>
    <s v="May"/>
    <s v="OK"/>
    <s v="OK"/>
    <n v="0.15"/>
    <n v="2"/>
    <n v="1109.1939999999995"/>
    <n v="6485.3639999999996"/>
    <n v="2"/>
    <s v="West"/>
    <s v="Clean"/>
    <s v="Standard Class"/>
  </r>
  <r>
    <s v="Ord-2024-10316"/>
    <x v="248"/>
    <d v="2024-07-08T00:00:00"/>
    <s v="Cust-7565"/>
    <s v="Rohan Mehta"/>
    <x v="0"/>
    <x v="0"/>
    <x v="18"/>
    <s v="New Delhi"/>
    <x v="0"/>
    <x v="0"/>
    <s v="Smart Paper 817"/>
    <x v="3"/>
    <n v="9"/>
    <n v="3450.4"/>
    <n v="0.05"/>
    <n v="29500.92"/>
    <n v="17989.68"/>
    <n v="11511.24"/>
    <x v="2"/>
    <x v="2"/>
    <s v="July"/>
    <s v="OK"/>
    <s v="OK"/>
    <n v="0.05"/>
    <n v="1"/>
    <n v="11511.240000000002"/>
    <n v="29500.920000000002"/>
    <n v="152"/>
    <s v="North"/>
    <s v="Clean"/>
    <s v="Standard Class"/>
  </r>
  <r>
    <s v="Ord-2024-10317"/>
    <x v="249"/>
    <d v="2024-02-18T00:00:00"/>
    <s v="Cust-9913"/>
    <s v="Karan Malhotra"/>
    <x v="2"/>
    <x v="0"/>
    <x v="7"/>
    <s v="Ludhiana"/>
    <x v="0"/>
    <x v="7"/>
    <s v="Classic Labels 466"/>
    <x v="3"/>
    <n v="2"/>
    <n v="1947.53"/>
    <n v="0.2"/>
    <n v="3116.05"/>
    <n v="1956.63"/>
    <n v="1159.42"/>
    <x v="0"/>
    <x v="1"/>
    <s v="February"/>
    <s v="OK"/>
    <s v="OK"/>
    <n v="0.2"/>
    <n v="1"/>
    <n v="1159.4180000000001"/>
    <n v="3116.0480000000002"/>
    <n v="2"/>
    <s v="North"/>
    <s v="Clean"/>
    <s v="Standard Class"/>
  </r>
  <r>
    <s v="Ord-2025-10318"/>
    <x v="4"/>
    <d v="2025-09-04T00:00:00"/>
    <s v="Cust-7992"/>
    <s v="Neha Gupta"/>
    <x v="2"/>
    <x v="2"/>
    <x v="13"/>
    <s v="Kochi"/>
    <x v="1"/>
    <x v="1"/>
    <s v="Pro Tables 778"/>
    <x v="2"/>
    <n v="9"/>
    <n v="2996.97"/>
    <n v="0.15"/>
    <n v="22926.82"/>
    <n v="14621.59"/>
    <n v="8305.23"/>
    <x v="0"/>
    <x v="0"/>
    <s v="September"/>
    <s v="OK"/>
    <s v="OK"/>
    <n v="0.15"/>
    <n v="1"/>
    <n v="8305.2304999999978"/>
    <n v="22926.820499999998"/>
    <n v="6"/>
    <s v="South"/>
    <s v="Clean"/>
    <s v="First Class"/>
  </r>
  <r>
    <s v="Ord-2024-10319"/>
    <x v="250"/>
    <d v="2024-04-30T00:00:00"/>
    <s v="Cust-8877"/>
    <s v="Mira Das"/>
    <x v="1"/>
    <x v="2"/>
    <x v="11"/>
    <s v="Bengaluru"/>
    <x v="2"/>
    <x v="11"/>
    <s v="Basic Phones 789"/>
    <x v="3"/>
    <n v="3"/>
    <n v="4149.46"/>
    <n v="0.1"/>
    <n v="11203.54"/>
    <n v="8452.93"/>
    <n v="2750.61"/>
    <x v="0"/>
    <x v="0"/>
    <s v="April"/>
    <s v="OK"/>
    <s v="OK"/>
    <n v="0.1"/>
    <n v="1"/>
    <n v="2750.612000000001"/>
    <n v="11203.542000000001"/>
    <n v="5"/>
    <s v="South"/>
    <s v="Clean"/>
    <s v="Standard Class"/>
  </r>
  <r>
    <s v="Ord-2024-10320"/>
    <x v="251"/>
    <d v="2024-08-25T00:00:00"/>
    <s v="Cust-4589"/>
    <s v="Diya Patel"/>
    <x v="0"/>
    <x v="3"/>
    <x v="12"/>
    <s v="Ahmedabad"/>
    <x v="0"/>
    <x v="9"/>
    <s v="Prime Binders 554"/>
    <x v="2"/>
    <n v="1"/>
    <n v="270.27999999999997"/>
    <n v="0"/>
    <n v="270.27999999999997"/>
    <n v="156.34"/>
    <n v="113.94"/>
    <x v="0"/>
    <x v="0"/>
    <s v="August"/>
    <s v="OK"/>
    <s v="OK"/>
    <n v="0"/>
    <n v="1"/>
    <n v="113.93999999999997"/>
    <n v="270.27999999999997"/>
    <n v="4"/>
    <s v="West"/>
    <s v="Clean"/>
    <s v="First Class"/>
  </r>
  <r>
    <s v="Ord-2024-10321"/>
    <x v="252"/>
    <d v="2024-06-12T00:00:00"/>
    <s v="Cust-4667"/>
    <s v="Aarav Sharma"/>
    <x v="3"/>
    <x v="1"/>
    <x v="6"/>
    <s v="Kolkata"/>
    <x v="0"/>
    <x v="2"/>
    <s v="Classic Art 299"/>
    <x v="0"/>
    <n v="3"/>
    <n v="876.14"/>
    <n v="7.0000000000000007E-2"/>
    <n v="2628.42"/>
    <n v="1541.54"/>
    <n v="1086.8800000000001"/>
    <x v="2"/>
    <x v="2"/>
    <s v="June"/>
    <s v="OK"/>
    <s v="OK"/>
    <n v="7.0000000000000007E-2"/>
    <n v="1"/>
    <n v="902.89059999999972"/>
    <n v="2444.4305999999997"/>
    <n v="61"/>
    <s v="East"/>
    <s v="Clean"/>
    <s v="Second Class"/>
  </r>
  <r>
    <s v="Ord-2024-10322"/>
    <x v="164"/>
    <d v="2024-06-30T00:00:00"/>
    <s v="Cust-7821"/>
    <s v="Neha Gupta"/>
    <x v="1"/>
    <x v="3"/>
    <x v="14"/>
    <s v="Panaji"/>
    <x v="2"/>
    <x v="5"/>
    <s v="Eco Accessories 220"/>
    <x v="1"/>
    <n v="4"/>
    <n v="674.82"/>
    <n v="0"/>
    <n v="2699.28"/>
    <n v="1759.76"/>
    <n v="939.52"/>
    <x v="3"/>
    <x v="1"/>
    <s v="June"/>
    <s v="OK"/>
    <s v="OK"/>
    <n v="0"/>
    <n v="1"/>
    <n v="939.52000000000021"/>
    <n v="2699.28"/>
    <n v="7"/>
    <s v="West"/>
    <s v="Clean"/>
    <s v="Same Day"/>
  </r>
  <r>
    <s v="Ord-2024-10323"/>
    <x v="253"/>
    <d v="2024-11-12T00:00:00"/>
    <s v="Cust-8579"/>
    <s v="Isha Nair"/>
    <x v="0"/>
    <x v="0"/>
    <x v="8"/>
    <s v="Noida"/>
    <x v="2"/>
    <x v="11"/>
    <s v="Max Phones 422"/>
    <x v="0"/>
    <n v="6"/>
    <n v="1369.48"/>
    <n v="0.15"/>
    <n v="6984.35"/>
    <n v="4023.63"/>
    <n v="2960.72"/>
    <x v="0"/>
    <x v="0"/>
    <s v="November"/>
    <s v="Invalid"/>
    <s v="OK"/>
    <n v="0.15"/>
    <n v="1"/>
    <n v="2960.7180000000008"/>
    <n v="6984.3480000000009"/>
    <n v="-29"/>
    <s v="North"/>
    <s v="ivalid"/>
    <s v="Second Class"/>
  </r>
  <r>
    <s v="Ord-2024-10324"/>
    <x v="254"/>
    <d v="2024-02-29T00:00:00"/>
    <s v="Cust-6909"/>
    <s v="Isha Nair"/>
    <x v="1"/>
    <x v="3"/>
    <x v="14"/>
    <s v="Panaji"/>
    <x v="1"/>
    <x v="3"/>
    <s v="Eco Furnishings 897"/>
    <x v="3"/>
    <n v="9"/>
    <n v="1331.46"/>
    <n v="0.15"/>
    <n v="10185.67"/>
    <n v="6479.31"/>
    <n v="3706.36"/>
    <x v="0"/>
    <x v="0"/>
    <s v="February"/>
    <s v="OK"/>
    <s v="OK"/>
    <n v="0.15"/>
    <n v="1"/>
    <n v="3706.3589999999995"/>
    <n v="10185.669"/>
    <n v="4"/>
    <s v="West"/>
    <s v="Clean"/>
    <s v="Standard Class"/>
  </r>
  <r>
    <s v="Ord-2025-10325"/>
    <x v="255"/>
    <d v="2025-08-02T00:00:00"/>
    <s v="Cust-7212"/>
    <s v="Rohan Mehta"/>
    <x v="3"/>
    <x v="2"/>
    <x v="5"/>
    <s v="Vijayawada"/>
    <x v="0"/>
    <x v="7"/>
    <s v="Basic Labels 102"/>
    <x v="1"/>
    <n v="1"/>
    <n v="1947.88"/>
    <n v="0.15"/>
    <n v="1655.7"/>
    <n v="1354.8"/>
    <n v="300.89999999999998"/>
    <x v="0"/>
    <x v="2"/>
    <s v="August"/>
    <s v="OK"/>
    <s v="OK"/>
    <n v="0.15"/>
    <n v="1"/>
    <n v="300.89800000000014"/>
    <n v="1655.6980000000001"/>
    <n v="2"/>
    <s v="South"/>
    <s v="Clean"/>
    <s v="Same Day"/>
  </r>
  <r>
    <s v="Ord-2025-10326"/>
    <x v="256"/>
    <d v="2025-09-22T00:00:00"/>
    <s v="Cust-7980"/>
    <s v="Sneha Kapoor"/>
    <x v="3"/>
    <x v="1"/>
    <x v="6"/>
    <s v="Kolkata"/>
    <x v="2"/>
    <x v="6"/>
    <s v="Prime Copiers 170"/>
    <x v="0"/>
    <n v="5"/>
    <n v="3671.2"/>
    <n v="0.15"/>
    <n v="15602.6"/>
    <n v="11908.52"/>
    <n v="3694.08"/>
    <x v="0"/>
    <x v="0"/>
    <s v="September"/>
    <s v="OK"/>
    <s v="OK"/>
    <n v="0.15"/>
    <n v="1"/>
    <n v="3694.08"/>
    <n v="15602.6"/>
    <n v="6"/>
    <s v="East"/>
    <s v="Clean"/>
    <s v="Second Class"/>
  </r>
  <r>
    <s v="Ord-2025-10327"/>
    <x v="166"/>
    <d v="2025-07-22T00:00:00"/>
    <s v="Cust-1966"/>
    <s v="Sneha Kapoor"/>
    <x v="2"/>
    <x v="1"/>
    <x v="15"/>
    <s v="Ranchi"/>
    <x v="1"/>
    <x v="3"/>
    <s v="Smart Furnishings 533"/>
    <x v="1"/>
    <n v="5"/>
    <n v="3187.05"/>
    <n v="0.05"/>
    <n v="15138.49"/>
    <n v="11235.72"/>
    <n v="3902.77"/>
    <x v="0"/>
    <x v="0"/>
    <s v="July"/>
    <s v="Invalid"/>
    <s v="OK"/>
    <n v="0.05"/>
    <n v="1"/>
    <n v="3902.7674999999999"/>
    <n v="15138.487499999999"/>
    <n v="0"/>
    <s v="East"/>
    <s v="Clean"/>
    <s v="Same Day"/>
  </r>
  <r>
    <s v="Ord-2024-10328"/>
    <x v="257"/>
    <d v="2024-07-27T00:00:00"/>
    <s v="Cust-6163"/>
    <s v="Isha Nair"/>
    <x v="0"/>
    <x v="3"/>
    <x v="0"/>
    <s v="Udaipur"/>
    <x v="2"/>
    <x v="5"/>
    <s v="Classic Accessories 489"/>
    <x v="0"/>
    <n v="3"/>
    <n v="1834.55"/>
    <n v="0.2"/>
    <n v="4402.92"/>
    <n v="2993.94"/>
    <n v="1408.98"/>
    <x v="2"/>
    <x v="1"/>
    <s v="July"/>
    <s v="OK"/>
    <s v="OK"/>
    <n v="0.2"/>
    <n v="1"/>
    <n v="1408.98"/>
    <n v="4402.92"/>
    <n v="3"/>
    <s v="West"/>
    <s v="Clean"/>
    <s v="Second Class"/>
  </r>
  <r>
    <s v="Ord-2025-10329"/>
    <x v="258"/>
    <d v="2025-06-04T00:00:00"/>
    <s v="Cust-7239"/>
    <s v="Diya Patel"/>
    <x v="0"/>
    <x v="3"/>
    <x v="3"/>
    <s v="Mumbai"/>
    <x v="0"/>
    <x v="8"/>
    <s v="Smart Storage 439"/>
    <x v="2"/>
    <n v="6"/>
    <n v="3100.68"/>
    <n v="0"/>
    <n v="18604.080000000002"/>
    <n v="15834.3"/>
    <n v="2769.78"/>
    <x v="0"/>
    <x v="0"/>
    <s v="June"/>
    <s v="OK"/>
    <s v="OK"/>
    <n v="0"/>
    <n v="1"/>
    <n v="2769.7799999999988"/>
    <n v="18604.079999999998"/>
    <n v="6"/>
    <s v="West"/>
    <s v="Clean"/>
    <s v="First Class"/>
  </r>
  <r>
    <s v="Ord-2025-10330"/>
    <x v="259"/>
    <d v="2025-05-18T00:00:00"/>
    <s v="Cust-9718"/>
    <s v="Neha Gupta"/>
    <x v="1"/>
    <x v="3"/>
    <x v="3"/>
    <s v="Mumbai"/>
    <x v="0"/>
    <x v="8"/>
    <s v="Prime Storage 232"/>
    <x v="3"/>
    <n v="4"/>
    <n v="4053.03"/>
    <n v="0.05"/>
    <n v="15401.51"/>
    <n v="8650.42"/>
    <n v="6751.09"/>
    <x v="0"/>
    <x v="0"/>
    <s v="May"/>
    <s v="Invalid"/>
    <s v="OK"/>
    <n v="0.05"/>
    <n v="1"/>
    <n v="6751.0939999999991"/>
    <n v="15401.513999999999"/>
    <n v="-201"/>
    <s v="West"/>
    <s v="ivalid"/>
    <s v="Standard Class"/>
  </r>
  <r>
    <s v="Ord-2024-10331"/>
    <x v="177"/>
    <d v="2024-05-24T00:00:00"/>
    <s v="Cust-1116"/>
    <s v="Arjun Bose"/>
    <x v="3"/>
    <x v="0"/>
    <x v="7"/>
    <s v="Ludhiana"/>
    <x v="2"/>
    <x v="5"/>
    <s v="Prime Accessories 335"/>
    <x v="1"/>
    <n v="1"/>
    <n v="783.09"/>
    <n v="0"/>
    <n v="783.09"/>
    <n v="503.89"/>
    <n v="279.2"/>
    <x v="3"/>
    <x v="1"/>
    <s v="May"/>
    <s v="OK"/>
    <s v="OK"/>
    <n v="0"/>
    <n v="1"/>
    <n v="279.20000000000005"/>
    <n v="783.09"/>
    <n v="8"/>
    <s v="North"/>
    <s v="Clean"/>
    <s v="Same Day"/>
  </r>
  <r>
    <s v="Ord-2024-10332"/>
    <x v="260"/>
    <d v="2024-12-06T00:00:00"/>
    <s v="Cust-9346"/>
    <s v="Sneha Kapoor"/>
    <x v="3"/>
    <x v="1"/>
    <x v="1"/>
    <s v="Bhubaneswar"/>
    <x v="0"/>
    <x v="9"/>
    <s v="Smart Binders 939"/>
    <x v="0"/>
    <n v="4"/>
    <n v="2685.66"/>
    <n v="0"/>
    <n v="10742.64"/>
    <n v="6477.37"/>
    <n v="4265.2700000000004"/>
    <x v="0"/>
    <x v="2"/>
    <s v="December"/>
    <s v="OK"/>
    <s v="OK"/>
    <n v="0"/>
    <n v="2"/>
    <n v="4265.2699999999995"/>
    <n v="10742.64"/>
    <n v="2"/>
    <s v="East"/>
    <s v="Clean"/>
    <s v="Second Class"/>
  </r>
  <r>
    <s v="Ord-2025-10333"/>
    <x v="261"/>
    <d v="2025-05-28T00:00:00"/>
    <s v="Cust-5332"/>
    <s v="Aarav Sharma"/>
    <x v="0"/>
    <x v="2"/>
    <x v="5"/>
    <s v="Vijayawada"/>
    <x v="2"/>
    <x v="12"/>
    <s v="Basic Machines 601"/>
    <x v="0"/>
    <n v="2"/>
    <n v="3911.96"/>
    <n v="0"/>
    <n v="7823.92"/>
    <n v="6034.63"/>
    <n v="1789.29"/>
    <x v="0"/>
    <x v="0"/>
    <s v="May"/>
    <s v="OK"/>
    <s v="OK"/>
    <n v="0"/>
    <n v="1"/>
    <n v="1789.29"/>
    <n v="7823.92"/>
    <n v="1"/>
    <s v="South"/>
    <s v="Clean"/>
    <s v="Second Class"/>
  </r>
  <r>
    <s v="Ord-2025-10334"/>
    <x v="262"/>
    <d v="2025-06-27T00:00:00"/>
    <s v="Cust-8081"/>
    <s v="Rohan Mehta"/>
    <x v="3"/>
    <x v="4"/>
    <x v="18"/>
    <s v="New Delhi"/>
    <x v="2"/>
    <x v="11"/>
    <s v="Pro Phones 968"/>
    <x v="2"/>
    <n v="2"/>
    <n v="1468.05"/>
    <n v="0"/>
    <n v="2936.1"/>
    <n v="1923.1"/>
    <n v="1013"/>
    <x v="0"/>
    <x v="0"/>
    <s v="June"/>
    <s v="OK"/>
    <s v="OK"/>
    <n v="0"/>
    <n v="1"/>
    <n v="1013"/>
    <n v="2936.1"/>
    <n v="5"/>
    <s v="Unknown"/>
    <s v="Clean"/>
    <s v="First Class"/>
  </r>
  <r>
    <s v="Ord-2024-10335"/>
    <x v="212"/>
    <d v="2024-09-17T00:00:00"/>
    <s v="Cust-3062"/>
    <s v="Ananya Rao"/>
    <x v="0"/>
    <x v="1"/>
    <x v="15"/>
    <s v="Ranchi"/>
    <x v="0"/>
    <x v="8"/>
    <s v="Pro Storage 563"/>
    <x v="2"/>
    <n v="9"/>
    <n v="1921.47"/>
    <n v="0.25"/>
    <n v="12969.92"/>
    <n v="9398.4599999999991"/>
    <n v="3571.46"/>
    <x v="0"/>
    <x v="0"/>
    <s v="September"/>
    <s v="Invalid"/>
    <s v="OK"/>
    <n v="0.25"/>
    <n v="1"/>
    <n v="3571.4625000000015"/>
    <n v="12969.922500000001"/>
    <n v="-83"/>
    <s v="East"/>
    <s v="ivalid"/>
    <s v="First Class"/>
  </r>
  <r>
    <s v="Ord-2025-10336"/>
    <x v="263"/>
    <d v="2025-06-18T00:00:00"/>
    <s v="Cust-3621"/>
    <s v="Rahul Verma"/>
    <x v="3"/>
    <x v="3"/>
    <x v="4"/>
    <s v="Indore"/>
    <x v="0"/>
    <x v="0"/>
    <s v="Prime Paper 559"/>
    <x v="2"/>
    <n v="3"/>
    <n v="4289.37"/>
    <n v="0.1"/>
    <n v="11581.3"/>
    <n v="6829.43"/>
    <n v="4751.87"/>
    <x v="0"/>
    <x v="0"/>
    <s v="June"/>
    <s v="OK"/>
    <s v="OK"/>
    <n v="0.1"/>
    <n v="2"/>
    <n v="4751.8690000000006"/>
    <n v="11581.299000000001"/>
    <n v="2"/>
    <s v="West"/>
    <s v="Clean"/>
    <s v="First Class"/>
  </r>
  <r>
    <s v="Ord-2024-10337"/>
    <x v="180"/>
    <d v="2024-03-21T00:00:00"/>
    <s v="Cust-2103"/>
    <s v="Aarav Sharma"/>
    <x v="0"/>
    <x v="0"/>
    <x v="0"/>
    <s v="Jaipur"/>
    <x v="2"/>
    <x v="6"/>
    <s v="Pro Copiers 999"/>
    <x v="2"/>
    <n v="8"/>
    <n v="1992.57"/>
    <n v="0"/>
    <n v="15940.56"/>
    <n v="12347.15"/>
    <n v="3593.41"/>
    <x v="0"/>
    <x v="0"/>
    <s v="March"/>
    <s v="OK"/>
    <s v="OK"/>
    <n v="0"/>
    <n v="1"/>
    <n v="3593.41"/>
    <n v="15940.56"/>
    <n v="4"/>
    <s v="North"/>
    <s v="Clean"/>
    <s v="First Class"/>
  </r>
  <r>
    <s v="Ord-2024-10338"/>
    <x v="264"/>
    <d v="2024-08-18T00:00:00"/>
    <s v="Cust-4599"/>
    <s v="Ananya Rao"/>
    <x v="0"/>
    <x v="1"/>
    <x v="10"/>
    <s v="Guwahati"/>
    <x v="0"/>
    <x v="7"/>
    <s v="Classic Labels 206"/>
    <x v="1"/>
    <n v="6"/>
    <n v="1181.74"/>
    <n v="0"/>
    <n v="7090.44"/>
    <n v="5672.27"/>
    <n v="1262.8699999999999"/>
    <x v="0"/>
    <x v="0"/>
    <s v="August"/>
    <s v="Invalid"/>
    <s v="OK"/>
    <n v="0"/>
    <n v="1"/>
    <n v="1418.17"/>
    <n v="7090.4400000000005"/>
    <n v="-112"/>
    <s v="East"/>
    <s v="ivalid"/>
    <s v="Same Day"/>
  </r>
  <r>
    <s v="Ord-2024-10339"/>
    <x v="264"/>
    <d v="2024-08-12T00:00:00"/>
    <s v="Cust-3066"/>
    <s v="Arjun Bose"/>
    <x v="1"/>
    <x v="2"/>
    <x v="5"/>
    <s v="Vijayawada"/>
    <x v="2"/>
    <x v="5"/>
    <s v="Eco Accessories 315"/>
    <x v="2"/>
    <n v="8"/>
    <n v="4402.3599999999997"/>
    <n v="0.25"/>
    <n v="26414.16"/>
    <n v="21822.53"/>
    <n v="4591.63"/>
    <x v="0"/>
    <x v="0"/>
    <s v="August"/>
    <s v="Invalid"/>
    <s v="OK"/>
    <n v="0.25"/>
    <n v="1"/>
    <n v="4591.6299999999974"/>
    <n v="26414.159999999996"/>
    <n v="-118"/>
    <s v="South"/>
    <s v="ivalid"/>
    <s v="First Class"/>
  </r>
  <r>
    <s v="Ord-2025-10340"/>
    <x v="143"/>
    <d v="2025-02-22T00:00:00"/>
    <s v="Cust-2752"/>
    <s v="Neha Gupta"/>
    <x v="2"/>
    <x v="1"/>
    <x v="15"/>
    <s v="Ranchi"/>
    <x v="1"/>
    <x v="10"/>
    <s v="Elite Bookcases 988"/>
    <x v="3"/>
    <n v="8"/>
    <n v="3265.76"/>
    <n v="0.2"/>
    <n v="20900.86"/>
    <n v="12513.14"/>
    <n v="8387.7199999999993"/>
    <x v="0"/>
    <x v="0"/>
    <s v="February"/>
    <s v="OK"/>
    <s v="OK"/>
    <n v="0.2"/>
    <n v="1"/>
    <n v="8387.724000000002"/>
    <n v="20900.864000000001"/>
    <n v="2"/>
    <s v="East"/>
    <s v="Clean"/>
    <s v="Standard Class"/>
  </r>
  <r>
    <s v="Ord-2024-10341"/>
    <x v="265"/>
    <d v="2024-01-29T00:00:00"/>
    <s v="Cust-6291"/>
    <s v="Neha Gupta"/>
    <x v="0"/>
    <x v="2"/>
    <x v="11"/>
    <s v="Bengaluru"/>
    <x v="0"/>
    <x v="9"/>
    <s v="Smart Binders 414"/>
    <x v="3"/>
    <n v="5"/>
    <n v="4058.08"/>
    <n v="0.1"/>
    <n v="18261.36"/>
    <n v="11399.94"/>
    <n v="6861.42"/>
    <x v="0"/>
    <x v="0"/>
    <s v="January"/>
    <s v="OK"/>
    <s v="OK"/>
    <n v="0.1"/>
    <n v="1"/>
    <n v="6861.42"/>
    <n v="18261.36"/>
    <n v="8"/>
    <s v="South"/>
    <s v="Clean"/>
    <s v="Standard Class"/>
  </r>
  <r>
    <s v="Ord-2025-10342"/>
    <x v="266"/>
    <d v="2025-09-09T00:00:00"/>
    <s v="Cust-9969"/>
    <s v="Rohan Mehta"/>
    <x v="3"/>
    <x v="3"/>
    <x v="12"/>
    <s v="Ahmedabad"/>
    <x v="1"/>
    <x v="4"/>
    <s v="Eco Chairs 552"/>
    <x v="0"/>
    <n v="2"/>
    <n v="3960.33"/>
    <n v="0.05"/>
    <n v="7524.63"/>
    <n v="6229.6"/>
    <n v="1295.03"/>
    <x v="0"/>
    <x v="0"/>
    <s v="September"/>
    <s v="OK"/>
    <s v="OK"/>
    <n v="0.05"/>
    <n v="1"/>
    <n v="1295.0269999999991"/>
    <n v="7524.6269999999995"/>
    <n v="31"/>
    <s v="West"/>
    <s v="Clean"/>
    <s v="Second Class"/>
  </r>
  <r>
    <s v="Ord-2025-10343"/>
    <x v="139"/>
    <d v="2025-08-01T00:00:00"/>
    <s v="Cust-3335"/>
    <s v="Kabir Singh"/>
    <x v="1"/>
    <x v="1"/>
    <x v="15"/>
    <s v="Ranchi"/>
    <x v="0"/>
    <x v="9"/>
    <s v="Smart Binders 574"/>
    <x v="2"/>
    <n v="8"/>
    <n v="1528.92"/>
    <n v="0"/>
    <n v="12231.36"/>
    <n v="8766.9"/>
    <n v="3464.46"/>
    <x v="0"/>
    <x v="0"/>
    <s v="August"/>
    <s v="OK"/>
    <s v="OK"/>
    <n v="0"/>
    <n v="1"/>
    <n v="3464.4600000000009"/>
    <n v="12231.36"/>
    <n v="8"/>
    <s v="East"/>
    <s v="Clean"/>
    <s v="First Class"/>
  </r>
  <r>
    <s v="Ord-2025-10344"/>
    <x v="267"/>
    <d v="2025-10-08T00:00:00"/>
    <s v="Cust-7358"/>
    <s v="Aarav Sharma"/>
    <x v="2"/>
    <x v="3"/>
    <x v="4"/>
    <s v="Indore"/>
    <x v="2"/>
    <x v="12"/>
    <s v="Pro Machines 444"/>
    <x v="1"/>
    <n v="9"/>
    <n v="3837"/>
    <n v="0.1"/>
    <n v="31079.7"/>
    <n v="17758.25"/>
    <n v="13321.45"/>
    <x v="0"/>
    <x v="0"/>
    <s v="October"/>
    <s v="OK"/>
    <s v="OK"/>
    <n v="0.1"/>
    <n v="1"/>
    <n v="13321.45"/>
    <n v="31079.7"/>
    <n v="212"/>
    <s v="West"/>
    <s v="Clean"/>
    <s v="Same Day"/>
  </r>
  <r>
    <s v="Ord-2024-10345"/>
    <x v="71"/>
    <d v="2024-03-11T00:00:00"/>
    <s v="Cust-8025"/>
    <s v="Priya Menon"/>
    <x v="0"/>
    <x v="0"/>
    <x v="7"/>
    <s v="Ludhiana"/>
    <x v="1"/>
    <x v="10"/>
    <s v="Elite Bookcases 184"/>
    <x v="1"/>
    <n v="9"/>
    <n v="3456.38"/>
    <n v="0"/>
    <n v="31107.42"/>
    <n v="20146.66"/>
    <n v="10960.76"/>
    <x v="2"/>
    <x v="2"/>
    <s v="March"/>
    <s v="Invalid"/>
    <s v="OK"/>
    <n v="0"/>
    <n v="1"/>
    <n v="10960.760000000002"/>
    <n v="31107.420000000002"/>
    <n v="0"/>
    <s v="North"/>
    <s v="Clean"/>
    <s v="Same Day"/>
  </r>
  <r>
    <s v="Ord-2024-10346"/>
    <x v="268"/>
    <d v="2024-09-22T00:00:00"/>
    <s v="Cust-4634"/>
    <s v="Karan Malhotra"/>
    <x v="0"/>
    <x v="3"/>
    <x v="4"/>
    <s v="Indore"/>
    <x v="1"/>
    <x v="3"/>
    <s v="Elite Furnishings 138"/>
    <x v="0"/>
    <n v="2"/>
    <n v="2765.3"/>
    <n v="0"/>
    <n v="5530.6"/>
    <n v="4453.1099999999997"/>
    <n v="1077.49"/>
    <x v="0"/>
    <x v="0"/>
    <s v="September"/>
    <s v="OK"/>
    <s v="OK"/>
    <n v="0"/>
    <n v="1"/>
    <n v="1077.4900000000007"/>
    <n v="5530.6"/>
    <n v="8"/>
    <s v="West"/>
    <s v="Clean"/>
    <s v="Second Class"/>
  </r>
  <r>
    <s v="Ord-2025-10347"/>
    <x v="166"/>
    <d v="2025-07-28T00:00:00"/>
    <s v="Cust-3400"/>
    <s v="Rahul Verma"/>
    <x v="2"/>
    <x v="2"/>
    <x v="13"/>
    <s v="Kochi"/>
    <x v="1"/>
    <x v="4"/>
    <s v="Eco Chairs 369"/>
    <x v="0"/>
    <n v="6"/>
    <n v="1607.46"/>
    <n v="0.2"/>
    <n v="7715.81"/>
    <n v="4258.42"/>
    <n v="3457.39"/>
    <x v="0"/>
    <x v="0"/>
    <s v="July"/>
    <s v="OK"/>
    <s v="OK"/>
    <n v="0.2"/>
    <n v="1"/>
    <n v="3457.3880000000008"/>
    <n v="7715.8080000000009"/>
    <n v="6"/>
    <s v="South"/>
    <s v="Clean"/>
    <s v="Second Class"/>
  </r>
  <r>
    <s v="Ord-2024-10348"/>
    <x v="200"/>
    <d v="2024-08-12T00:00:00"/>
    <s v="Cust-1172"/>
    <s v="Aarav Sharma"/>
    <x v="1"/>
    <x v="3"/>
    <x v="14"/>
    <s v="Panaji"/>
    <x v="1"/>
    <x v="4"/>
    <s v="Max Chairs 487"/>
    <x v="0"/>
    <n v="5"/>
    <n v="2981.49"/>
    <n v="0.2"/>
    <n v="11925.96"/>
    <n v="10103.51"/>
    <n v="1822.45"/>
    <x v="1"/>
    <x v="2"/>
    <s v="August"/>
    <s v="Invalid"/>
    <s v="OK"/>
    <n v="0.2"/>
    <n v="1"/>
    <n v="1822.4499999999989"/>
    <n v="11925.96"/>
    <n v="-111"/>
    <s v="West"/>
    <s v="ivalid"/>
    <s v="Second Class"/>
  </r>
  <r>
    <s v="Ord-2024-10349"/>
    <x v="207"/>
    <d v="2024-07-06T00:00:00"/>
    <s v="Cust-9517"/>
    <s v="Aarav Sharma"/>
    <x v="2"/>
    <x v="2"/>
    <x v="11"/>
    <s v="Bengaluru"/>
    <x v="2"/>
    <x v="11"/>
    <s v="Classic Phones 989"/>
    <x v="1"/>
    <n v="9"/>
    <n v="2860.26"/>
    <n v="0.25"/>
    <n v="19306.759999999998"/>
    <n v="14442.38"/>
    <n v="4864.38"/>
    <x v="0"/>
    <x v="0"/>
    <s v="July"/>
    <s v="OK"/>
    <s v="OK"/>
    <n v="0.25"/>
    <n v="1"/>
    <n v="4864.3750000000055"/>
    <n v="19306.755000000005"/>
    <n v="151"/>
    <s v="South"/>
    <s v="Clean"/>
    <s v="Same Day"/>
  </r>
  <r>
    <s v="Ord-2025-10350"/>
    <x v="74"/>
    <d v="2025-09-29T00:00:00"/>
    <s v="Cust-6697"/>
    <s v="Kabir Singh"/>
    <x v="3"/>
    <x v="1"/>
    <x v="15"/>
    <s v="Ranchi"/>
    <x v="1"/>
    <x v="3"/>
    <s v="Max Furnishings 628"/>
    <x v="0"/>
    <n v="9"/>
    <n v="2867.55"/>
    <n v="0.25"/>
    <n v="19355.96"/>
    <n v="15012.45"/>
    <n v="4017.4"/>
    <x v="0"/>
    <x v="0"/>
    <s v="September"/>
    <s v="OK"/>
    <s v="OK"/>
    <n v="0.25"/>
    <n v="1"/>
    <n v="4343.5125000000007"/>
    <n v="19355.962500000001"/>
    <n v="2"/>
    <s v="East"/>
    <s v="Clean"/>
    <s v="Second Class"/>
  </r>
  <r>
    <s v="Ord-2024-10351"/>
    <x v="80"/>
    <d v="2024-01-14T00:00:00"/>
    <s v="Cust-7644"/>
    <s v="Sneha Kapoor"/>
    <x v="1"/>
    <x v="1"/>
    <x v="15"/>
    <s v="Ranchi"/>
    <x v="1"/>
    <x v="3"/>
    <s v="Elite Furnishings 279"/>
    <x v="0"/>
    <n v="4"/>
    <n v="3309.54"/>
    <n v="0.1"/>
    <n v="11914.34"/>
    <n v="9771.24"/>
    <n v="2143.1"/>
    <x v="1"/>
    <x v="2"/>
    <s v="January"/>
    <s v="OK"/>
    <s v="OK"/>
    <n v="0.1"/>
    <n v="1"/>
    <n v="2143.1040000000012"/>
    <n v="11914.344000000001"/>
    <n v="7"/>
    <s v="East"/>
    <s v="Clean"/>
    <s v="Second Class"/>
  </r>
  <r>
    <s v="Ord-2025-10352"/>
    <x v="269"/>
    <d v="2025-05-27T00:00:00"/>
    <s v="Cust-9963"/>
    <s v="Vikram Iyer"/>
    <x v="1"/>
    <x v="2"/>
    <x v="2"/>
    <s v="Hyderabad"/>
    <x v="0"/>
    <x v="8"/>
    <s v="Pro Storage 847"/>
    <x v="2"/>
    <n v="6"/>
    <n v="719.44"/>
    <n v="0.25"/>
    <n v="3237.48"/>
    <n v="2118.34"/>
    <n v="1119.1400000000001"/>
    <x v="2"/>
    <x v="1"/>
    <s v="May"/>
    <s v="OK"/>
    <s v="OK"/>
    <n v="0.25"/>
    <n v="1"/>
    <n v="1119.1400000000003"/>
    <n v="3237.4800000000005"/>
    <n v="4"/>
    <s v="South"/>
    <s v="Clean"/>
    <s v="First Class"/>
  </r>
  <r>
    <s v="Ord-2025-10353"/>
    <x v="233"/>
    <d v="2025-08-17T00:00:00"/>
    <s v="Cust-6382"/>
    <s v="Diya Patel"/>
    <x v="1"/>
    <x v="1"/>
    <x v="10"/>
    <s v="Guwahati"/>
    <x v="2"/>
    <x v="6"/>
    <s v="Elite Copiers 706"/>
    <x v="2"/>
    <n v="5"/>
    <n v="2862.6"/>
    <n v="0.25"/>
    <n v="10734.75"/>
    <n v="6475.73"/>
    <n v="4259.0200000000004"/>
    <x v="0"/>
    <x v="0"/>
    <s v="August"/>
    <s v="OK"/>
    <s v="OK"/>
    <n v="0.25"/>
    <n v="1"/>
    <n v="4259.0200000000004"/>
    <n v="10734.75"/>
    <n v="2"/>
    <s v="East"/>
    <s v="Clean"/>
    <s v="First Class"/>
  </r>
  <r>
    <s v="Ord-2025-10354"/>
    <x v="270"/>
    <d v="2025-02-27T00:00:00"/>
    <s v="Cust-3253"/>
    <s v="Ananya Rao"/>
    <x v="0"/>
    <x v="0"/>
    <x v="0"/>
    <s v="Jaipur"/>
    <x v="0"/>
    <x v="2"/>
    <s v="Prime Art 978"/>
    <x v="1"/>
    <n v="9"/>
    <n v="1431.67"/>
    <n v="0.2"/>
    <n v="10308.02"/>
    <n v="5822.31"/>
    <n v="4485.71"/>
    <x v="0"/>
    <x v="0"/>
    <s v="February"/>
    <s v="OK"/>
    <s v="OK"/>
    <n v="0.2"/>
    <n v="1"/>
    <n v="4485.7140000000009"/>
    <n v="10308.024000000001"/>
    <n v="6"/>
    <s v="North"/>
    <s v="Clean"/>
    <s v="Same Day"/>
  </r>
  <r>
    <s v="Ord-2024-10355"/>
    <x v="14"/>
    <d v="2024-12-31T00:00:00"/>
    <s v="Cust-1058"/>
    <s v="Kabir Singh"/>
    <x v="2"/>
    <x v="0"/>
    <x v="7"/>
    <s v="Ludhiana"/>
    <x v="1"/>
    <x v="3"/>
    <s v="Classic Furnishings 498"/>
    <x v="3"/>
    <n v="6"/>
    <n v="3346.78"/>
    <n v="-0.06"/>
    <n v="20080.68"/>
    <n v="12908.84"/>
    <n v="7171.84"/>
    <x v="2"/>
    <x v="1"/>
    <s v="December"/>
    <s v="OK"/>
    <s v="Negative Discount"/>
    <n v="-0.06"/>
    <n v="1"/>
    <n v="8376.6808000000019"/>
    <n v="21285.520800000002"/>
    <n v="4"/>
    <s v="North"/>
    <s v="ivalid"/>
    <s v="Standard Class"/>
  </r>
  <r>
    <s v="Ord-2024-10356"/>
    <x v="271"/>
    <d v="2024-05-09T00:00:00"/>
    <s v="Cust-6414"/>
    <s v="Priya Menon"/>
    <x v="2"/>
    <x v="3"/>
    <x v="0"/>
    <s v="Udaipur"/>
    <x v="1"/>
    <x v="1"/>
    <s v="Max Tables 829"/>
    <x v="3"/>
    <n v="5"/>
    <n v="3203.48"/>
    <n v="0"/>
    <n v="16017.4"/>
    <n v="9557.7999999999993"/>
    <n v="6459.6"/>
    <x v="2"/>
    <x v="1"/>
    <s v="May"/>
    <s v="Invalid"/>
    <s v="OK"/>
    <n v="0"/>
    <n v="1"/>
    <n v="6459.6"/>
    <n v="16017.4"/>
    <n v="-3"/>
    <s v="West"/>
    <s v="ivalid"/>
    <s v="Standard Class"/>
  </r>
  <r>
    <s v="Ord-2025-10357"/>
    <x v="102"/>
    <d v="2025-06-29T00:00:00"/>
    <s v="Cust-9268"/>
    <s v="Rohan Mehta"/>
    <x v="3"/>
    <x v="2"/>
    <x v="2"/>
    <s v="Hyderabad"/>
    <x v="1"/>
    <x v="4"/>
    <s v="Eco Chairs 346"/>
    <x v="2"/>
    <n v="5"/>
    <n v="621.70000000000005"/>
    <n v="0.2"/>
    <n v="2486.8000000000002"/>
    <n v="2131.73"/>
    <n v="355.07"/>
    <x v="2"/>
    <x v="2"/>
    <s v="June"/>
    <s v="OK"/>
    <s v="OK"/>
    <n v="0.2"/>
    <n v="1"/>
    <n v="355.07000000000016"/>
    <n v="2486.8000000000002"/>
    <n v="2"/>
    <s v="South"/>
    <s v="Clean"/>
    <s v="First Class"/>
  </r>
  <r>
    <s v="Ord-2025-10358"/>
    <x v="20"/>
    <d v="2025-01-29T00:00:00"/>
    <s v="Cust-1363"/>
    <s v="Mira Das"/>
    <x v="3"/>
    <x v="2"/>
    <x v="5"/>
    <s v="Vijayawada"/>
    <x v="2"/>
    <x v="12"/>
    <s v="Max Machines 770"/>
    <x v="0"/>
    <n v="8"/>
    <n v="546.13"/>
    <n v="0"/>
    <n v="4369.04"/>
    <n v="3716.88"/>
    <n v="652.16"/>
    <x v="0"/>
    <x v="1"/>
    <s v="January"/>
    <s v="OK"/>
    <s v="OK"/>
    <n v="0"/>
    <n v="1"/>
    <n v="652.15999999999985"/>
    <n v="4369.04"/>
    <n v="8"/>
    <s v="South"/>
    <s v="Clean"/>
    <s v="Second Class"/>
  </r>
  <r>
    <s v="Ord-2025-10359"/>
    <x v="215"/>
    <d v="2025-08-07T00:00:00"/>
    <s v="Cust-2477"/>
    <s v="Vikram Iyer"/>
    <x v="3"/>
    <x v="3"/>
    <x v="12"/>
    <s v="Ahmedabad"/>
    <x v="1"/>
    <x v="10"/>
    <s v="Smart Bookcases 134"/>
    <x v="0"/>
    <n v="5"/>
    <n v="1253.92"/>
    <n v="0.05"/>
    <n v="5956.12"/>
    <n v="4379.18"/>
    <n v="1576.94"/>
    <x v="2"/>
    <x v="2"/>
    <s v="August"/>
    <s v="Invalid"/>
    <s v="OK"/>
    <n v="0.05"/>
    <n v="1"/>
    <n v="1576.9399999999996"/>
    <n v="5956.12"/>
    <n v="-32"/>
    <s v="West"/>
    <s v="ivalid"/>
    <s v="Second Class"/>
  </r>
  <r>
    <s v="Ord-2024-10360"/>
    <x v="251"/>
    <d v="2024-08-22T00:00:00"/>
    <s v="Cust-9571"/>
    <s v="Isha Nair"/>
    <x v="0"/>
    <x v="2"/>
    <x v="17"/>
    <s v="Chennai"/>
    <x v="2"/>
    <x v="11"/>
    <s v="Classic Phones 586"/>
    <x v="1"/>
    <n v="9"/>
    <n v="616.96"/>
    <n v="0.1"/>
    <n v="4997.38"/>
    <n v="2971.39"/>
    <n v="2025.99"/>
    <x v="0"/>
    <x v="0"/>
    <s v="August"/>
    <s v="OK"/>
    <s v="OK"/>
    <n v="0.1"/>
    <n v="1"/>
    <n v="2025.9860000000003"/>
    <n v="4997.3760000000002"/>
    <n v="1"/>
    <s v="South"/>
    <s v="Clean"/>
    <s v="Same Day"/>
  </r>
  <r>
    <s v="Ord-2024-10361"/>
    <x v="35"/>
    <d v="2024-06-20T00:00:00"/>
    <s v="Cust-3690"/>
    <s v="Sneha Kapoor"/>
    <x v="1"/>
    <x v="3"/>
    <x v="12"/>
    <s v="Ahmedabad"/>
    <x v="1"/>
    <x v="3"/>
    <s v="Elite Furnishings 634"/>
    <x v="3"/>
    <n v="7"/>
    <n v="3155.25"/>
    <n v="0.2"/>
    <n v="17669.400000000001"/>
    <n v="13718.77"/>
    <n v="3950.63"/>
    <x v="1"/>
    <x v="1"/>
    <s v="June"/>
    <s v="OK"/>
    <s v="OK"/>
    <n v="0.2"/>
    <n v="1"/>
    <n v="3950.630000000001"/>
    <n v="17669.400000000001"/>
    <n v="3"/>
    <s v="West"/>
    <s v="Clean"/>
    <s v="Standard Class"/>
  </r>
  <r>
    <s v="Ord-2025-10362"/>
    <x v="182"/>
    <d v="2025-04-02T00:00:00"/>
    <s v="Cust-2909"/>
    <s v="Rohan Mehta"/>
    <x v="2"/>
    <x v="1"/>
    <x v="1"/>
    <s v="Bhubaneswar"/>
    <x v="1"/>
    <x v="4"/>
    <s v="Basic Chairs 113"/>
    <x v="0"/>
    <n v="9"/>
    <n v="4165.58"/>
    <n v="0.05"/>
    <n v="35615.71"/>
    <n v="20389.71"/>
    <n v="15226"/>
    <x v="2"/>
    <x v="2"/>
    <s v="April"/>
    <s v="OK"/>
    <s v="OK"/>
    <n v="0.05"/>
    <n v="1"/>
    <n v="15225.999000000003"/>
    <n v="35615.709000000003"/>
    <n v="1"/>
    <s v="East"/>
    <s v="Clean"/>
    <s v="Second Class"/>
  </r>
  <r>
    <s v="Ord-2024-10363"/>
    <x v="204"/>
    <d v="2024-08-25T00:00:00"/>
    <s v="Cust-6755"/>
    <s v="Vikram Iyer"/>
    <x v="0"/>
    <x v="3"/>
    <x v="14"/>
    <s v="Panaji"/>
    <x v="2"/>
    <x v="12"/>
    <s v="Elite Machines 216"/>
    <x v="1"/>
    <n v="4"/>
    <n v="491.16"/>
    <n v="0.05"/>
    <n v="1866.41"/>
    <n v="1576.49"/>
    <n v="289.92"/>
    <x v="0"/>
    <x v="0"/>
    <s v="August"/>
    <s v="OK"/>
    <s v="OK"/>
    <n v="0.05"/>
    <n v="1"/>
    <n v="289.91799999999989"/>
    <n v="1866.4079999999999"/>
    <n v="2"/>
    <s v="West"/>
    <s v="Clean"/>
    <s v="Same Day"/>
  </r>
  <r>
    <s v="Ord-2025-10364"/>
    <x v="272"/>
    <d v="2025-12-07T00:00:00"/>
    <s v="Cust-1832"/>
    <s v="Diya Patel"/>
    <x v="2"/>
    <x v="1"/>
    <x v="6"/>
    <s v="Kolkata"/>
    <x v="1"/>
    <x v="1"/>
    <s v="Smart Tables 943"/>
    <x v="0"/>
    <n v="5"/>
    <n v="1831.37"/>
    <n v="0.25"/>
    <n v="6867.64"/>
    <n v="5205.3599999999997"/>
    <n v="1662.28"/>
    <x v="0"/>
    <x v="0"/>
    <s v="December"/>
    <s v="OK"/>
    <s v="OK"/>
    <n v="0.25"/>
    <n v="1"/>
    <n v="1662.2774999999992"/>
    <n v="6867.6374999999989"/>
    <n v="153"/>
    <s v="East"/>
    <s v="Clean"/>
    <s v="Second Class"/>
  </r>
  <r>
    <s v="Ord-2025-10365"/>
    <x v="273"/>
    <d v="2025-03-24T00:00:00"/>
    <s v="Cust-4452"/>
    <s v="Aarav Sharma"/>
    <x v="1"/>
    <x v="2"/>
    <x v="5"/>
    <s v="Vijayawada"/>
    <x v="1"/>
    <x v="4"/>
    <s v="Prime Chairs 101"/>
    <x v="0"/>
    <n v="5"/>
    <n v="1239.1500000000001"/>
    <n v="0"/>
    <n v="6195.75"/>
    <n v="3967.02"/>
    <n v="2228.73"/>
    <x v="0"/>
    <x v="0"/>
    <s v="March"/>
    <s v="OK"/>
    <s v="OK"/>
    <n v="0"/>
    <n v="1"/>
    <n v="2228.73"/>
    <n v="6195.75"/>
    <n v="3"/>
    <s v="South"/>
    <s v="Clean"/>
    <s v="Second Class"/>
  </r>
  <r>
    <s v="Ord-2024-10366"/>
    <x v="274"/>
    <d v="2024-06-21T00:00:00"/>
    <s v="Cust-2203"/>
    <s v="Aditi Sen"/>
    <x v="2"/>
    <x v="3"/>
    <x v="14"/>
    <s v="Panaji"/>
    <x v="2"/>
    <x v="5"/>
    <s v="Basic Accessories 774"/>
    <x v="2"/>
    <n v="8"/>
    <n v="1706.4"/>
    <m/>
    <n v="12968.64"/>
    <n v="10119.61"/>
    <n v="2849.03"/>
    <x v="0"/>
    <x v="0"/>
    <s v="June"/>
    <s v="OK"/>
    <s v="OK"/>
    <n v="0"/>
    <n v="1"/>
    <n v="3531.59"/>
    <n v="13651.2"/>
    <n v="6"/>
    <s v="West"/>
    <s v="Clean"/>
    <s v="First Class"/>
  </r>
  <r>
    <s v="Ord-2025-10367"/>
    <x v="275"/>
    <d v="2025-01-22T00:00:00"/>
    <s v="Cust-5397"/>
    <s v="Sneha Kapoor"/>
    <x v="2"/>
    <x v="0"/>
    <x v="0"/>
    <s v="Jaipur"/>
    <x v="1"/>
    <x v="1"/>
    <s v="Max Tables 478"/>
    <x v="1"/>
    <n v="2"/>
    <n v="4418.28"/>
    <n v="0"/>
    <n v="8836.56"/>
    <n v="5867.75"/>
    <n v="2968.81"/>
    <x v="0"/>
    <x v="0"/>
    <s v="January"/>
    <s v="OK"/>
    <s v="OK"/>
    <n v="0"/>
    <n v="1"/>
    <n v="2968.8099999999995"/>
    <n v="8836.56"/>
    <n v="6"/>
    <s v="North"/>
    <s v="Clean"/>
    <s v="Same Day"/>
  </r>
  <r>
    <s v="Ord-2024-10368"/>
    <x v="153"/>
    <d v="2024-03-16T00:00:00"/>
    <s v="Cust-4696"/>
    <s v="Rohan Mehta"/>
    <x v="0"/>
    <x v="0"/>
    <x v="18"/>
    <s v="New Delhi"/>
    <x v="0"/>
    <x v="2"/>
    <s v="Eco Art 646"/>
    <x v="3"/>
    <n v="6"/>
    <n v="3815.09"/>
    <n v="0.15"/>
    <n v="19456.96"/>
    <n v="14520.06"/>
    <n v="4936.8999999999996"/>
    <x v="3"/>
    <x v="1"/>
    <s v="March"/>
    <s v="OK"/>
    <s v="OK"/>
    <n v="0.15"/>
    <n v="1"/>
    <n v="4936.8989999999994"/>
    <n v="19456.958999999999"/>
    <n v="1"/>
    <s v="North"/>
    <s v="Clean"/>
    <s v="Standard Class"/>
  </r>
  <r>
    <s v="Ord-2025-10369"/>
    <x v="276"/>
    <d v="2025-07-06T00:00:00"/>
    <s v="Cust-8246"/>
    <s v="Aarav Sharma"/>
    <x v="3"/>
    <x v="0"/>
    <x v="0"/>
    <s v="Jaipur"/>
    <x v="2"/>
    <x v="5"/>
    <s v="Prime Accessories 962"/>
    <x v="1"/>
    <n v="9"/>
    <n v="243.19"/>
    <n v="0.05"/>
    <n v="2079.27"/>
    <n v="1512.17"/>
    <n v="567.1"/>
    <x v="1"/>
    <x v="2"/>
    <s v="July"/>
    <s v="Invalid"/>
    <s v="OK"/>
    <n v="0.05"/>
    <n v="1"/>
    <n v="567.10449999999992"/>
    <n v="2079.2745"/>
    <n v="0"/>
    <s v="North"/>
    <s v="Clean"/>
    <s v="Same Day"/>
  </r>
  <r>
    <s v="Ord-2025-10370"/>
    <x v="85"/>
    <d v="2025-01-30T00:00:00"/>
    <s v="Cust-5672"/>
    <s v="Priya Menon"/>
    <x v="0"/>
    <x v="0"/>
    <x v="18"/>
    <s v="New Delhi"/>
    <x v="0"/>
    <x v="7"/>
    <s v="Eco Labels 646"/>
    <x v="3"/>
    <n v="9"/>
    <n v="1169.3699999999999"/>
    <n v="0.15"/>
    <n v="8945.68"/>
    <n v="6740.35"/>
    <n v="2205.33"/>
    <x v="0"/>
    <x v="0"/>
    <s v="January"/>
    <s v="OK"/>
    <s v="OK"/>
    <n v="0.15"/>
    <n v="1"/>
    <n v="2205.3304999999982"/>
    <n v="8945.6804999999986"/>
    <n v="7"/>
    <s v="North"/>
    <s v="Clean"/>
    <s v="Standard Class"/>
  </r>
  <r>
    <s v="Ord-2024-10371"/>
    <x v="99"/>
    <d v="2024-08-21T00:00:00"/>
    <s v="Cust-8521"/>
    <s v="Ananya Rao"/>
    <x v="1"/>
    <x v="3"/>
    <x v="0"/>
    <s v="Udaipur"/>
    <x v="2"/>
    <x v="6"/>
    <s v="Classic Copiers 505"/>
    <x v="2"/>
    <n v="7"/>
    <n v="2333.81"/>
    <n v="0.2"/>
    <n v="13069.34"/>
    <n v="8768.59"/>
    <n v="4300.75"/>
    <x v="0"/>
    <x v="0"/>
    <s v="August"/>
    <s v="OK"/>
    <s v="OK"/>
    <n v="0.2"/>
    <n v="1"/>
    <n v="4300.746000000001"/>
    <n v="13069.336000000001"/>
    <n v="6"/>
    <s v="West"/>
    <s v="Clean"/>
    <s v="First Class"/>
  </r>
  <r>
    <s v="Ord-2024-10372"/>
    <x v="167"/>
    <d v="2024-01-24T00:00:00"/>
    <s v="Cust-2204"/>
    <s v="Diya Patel"/>
    <x v="3"/>
    <x v="3"/>
    <x v="3"/>
    <s v="Mumbai"/>
    <x v="0"/>
    <x v="2"/>
    <s v="Pro Art 906"/>
    <x v="3"/>
    <n v="6"/>
    <n v="1026.06"/>
    <m/>
    <n v="4617.2700000000004"/>
    <n v="2981.94"/>
    <n v="1635.33"/>
    <x v="1"/>
    <x v="1"/>
    <s v="January"/>
    <s v="OK"/>
    <s v="OK"/>
    <n v="0"/>
    <n v="1"/>
    <n v="3174.4199999999996"/>
    <n v="6156.36"/>
    <n v="2"/>
    <s v="West"/>
    <s v="Clean"/>
    <s v="Standard Class"/>
  </r>
  <r>
    <s v="Ord-2025-10373"/>
    <x v="277"/>
    <d v="2025-08-18T00:00:00"/>
    <s v="Cust-4399"/>
    <s v="Kabir Singh"/>
    <x v="0"/>
    <x v="1"/>
    <x v="15"/>
    <s v="Ranchi"/>
    <x v="1"/>
    <x v="4"/>
    <s v="Max Chairs 181"/>
    <x v="1"/>
    <n v="5"/>
    <n v="1530.36"/>
    <n v="0"/>
    <n v="7651.8"/>
    <n v="5171.78"/>
    <n v="2480.02"/>
    <x v="0"/>
    <x v="0"/>
    <s v="August"/>
    <s v="OK"/>
    <s v="OK"/>
    <n v="0"/>
    <n v="1"/>
    <n v="2480.0199999999995"/>
    <n v="7651.7999999999993"/>
    <n v="2"/>
    <s v="East"/>
    <s v="Clean"/>
    <s v="Same Day"/>
  </r>
  <r>
    <s v="Ord-2025-10374"/>
    <x v="278"/>
    <d v="2025-04-13T00:00:00"/>
    <s v="Cust-8566"/>
    <s v="Sneha Kapoor"/>
    <x v="1"/>
    <x v="0"/>
    <x v="8"/>
    <s v="Noida"/>
    <x v="0"/>
    <x v="8"/>
    <s v="Prime Storage 951"/>
    <x v="0"/>
    <n v="9"/>
    <n v="1118.68"/>
    <n v="0"/>
    <n v="10068.120000000001"/>
    <n v="8595.3700000000008"/>
    <n v="1472.75"/>
    <x v="0"/>
    <x v="0"/>
    <s v="April"/>
    <s v="Invalid"/>
    <s v="OK"/>
    <n v="0"/>
    <n v="2"/>
    <n v="1472.75"/>
    <n v="10068.120000000001"/>
    <n v="0"/>
    <s v="North"/>
    <s v="Clean"/>
    <s v="Second Class"/>
  </r>
  <r>
    <s v="Ord-2025-10375"/>
    <x v="70"/>
    <d v="2025-02-28T00:00:00"/>
    <s v="Cust-2358"/>
    <s v="Aditi Sen"/>
    <x v="1"/>
    <x v="0"/>
    <x v="8"/>
    <s v="Noida"/>
    <x v="0"/>
    <x v="7"/>
    <s v="Smart Labels 668"/>
    <x v="3"/>
    <n v="6"/>
    <n v="2393.25"/>
    <n v="0"/>
    <n v="14359.5"/>
    <n v="8117.71"/>
    <n v="6241.79"/>
    <x v="0"/>
    <x v="0"/>
    <s v="February"/>
    <s v="OK"/>
    <s v="OK"/>
    <n v="0"/>
    <n v="1"/>
    <n v="6241.79"/>
    <n v="14359.5"/>
    <n v="1"/>
    <s v="North"/>
    <s v="Clean"/>
    <s v="Standard Class"/>
  </r>
  <r>
    <s v="Ord-2024-10376"/>
    <x v="279"/>
    <d v="2025-01-04T00:00:00"/>
    <s v="Cust-2810"/>
    <s v="Vikram Iyer"/>
    <x v="0"/>
    <x v="0"/>
    <x v="18"/>
    <s v="New Delhi"/>
    <x v="1"/>
    <x v="4"/>
    <s v="Pro Chairs 364"/>
    <x v="1"/>
    <n v="3"/>
    <n v="1166.6099999999999"/>
    <n v="0.25"/>
    <n v="2624.87"/>
    <n v="2253.88"/>
    <n v="370.99"/>
    <x v="0"/>
    <x v="0"/>
    <s v="January"/>
    <s v="OK"/>
    <s v="OK"/>
    <n v="0.25"/>
    <n v="1"/>
    <n v="370.99249999999984"/>
    <n v="2624.8724999999999"/>
    <n v="4"/>
    <s v="North"/>
    <s v="Clean"/>
    <s v="Same Day"/>
  </r>
  <r>
    <s v="Ord-2024-10377"/>
    <x v="280"/>
    <d v="2024-12-31T00:00:00"/>
    <s v="Cust-5166"/>
    <s v="Isha Nair"/>
    <x v="1"/>
    <x v="1"/>
    <x v="9"/>
    <s v="Patna"/>
    <x v="1"/>
    <x v="4"/>
    <s v="Basic Chairs 248"/>
    <x v="2"/>
    <n v="6"/>
    <n v="1844.78"/>
    <n v="0.2"/>
    <n v="8854.94"/>
    <n v="7433.95"/>
    <n v="1420.99"/>
    <x v="0"/>
    <x v="0"/>
    <s v="December"/>
    <s v="OK"/>
    <s v="OK"/>
    <n v="0.2"/>
    <n v="1"/>
    <n v="1420.9940000000015"/>
    <n v="8854.9440000000013"/>
    <n v="2"/>
    <s v="East"/>
    <s v="Clean"/>
    <s v="First Class"/>
  </r>
  <r>
    <s v="Ord-2025-10378"/>
    <x v="239"/>
    <d v="2025-05-30T00:00:00"/>
    <s v="Cust-4875"/>
    <s v="Kabir Singh"/>
    <x v="1"/>
    <x v="1"/>
    <x v="1"/>
    <s v="Bhubaneswar"/>
    <x v="0"/>
    <x v="8"/>
    <s v="Basic Storage 360"/>
    <x v="1"/>
    <n v="1"/>
    <n v="2564.7399999999998"/>
    <n v="0"/>
    <n v="2564.7399999999998"/>
    <n v="1754.58"/>
    <n v="810.16"/>
    <x v="0"/>
    <x v="0"/>
    <s v="May"/>
    <s v="OK"/>
    <s v="OK"/>
    <n v="0"/>
    <n v="1"/>
    <n v="810.15999999999985"/>
    <n v="2564.7399999999998"/>
    <n v="6"/>
    <s v="East"/>
    <s v="Clean"/>
    <s v="Same Day"/>
  </r>
  <r>
    <s v="Ord-2025-10379"/>
    <x v="281"/>
    <d v="2025-05-22T00:00:00"/>
    <s v="Cust-3154"/>
    <s v="Mira Das"/>
    <x v="0"/>
    <x v="3"/>
    <x v="14"/>
    <s v="Panaji"/>
    <x v="2"/>
    <x v="5"/>
    <s v="Basic Accessories 988"/>
    <x v="3"/>
    <n v="2"/>
    <n v="3910.61"/>
    <n v="0"/>
    <n v="7821.22"/>
    <n v="4994.46"/>
    <n v="2826.76"/>
    <x v="0"/>
    <x v="0"/>
    <s v="May"/>
    <s v="Invalid"/>
    <s v="OK"/>
    <n v="0"/>
    <n v="1"/>
    <n v="2826.76"/>
    <n v="7821.22"/>
    <n v="0"/>
    <s v="West"/>
    <s v="Clean"/>
    <s v="Standard Class"/>
  </r>
  <r>
    <s v="Ord-2024-10380"/>
    <x v="282"/>
    <d v="2024-09-23T00:00:00"/>
    <s v="Cust-6405"/>
    <s v="Mira Das"/>
    <x v="1"/>
    <x v="2"/>
    <x v="13"/>
    <s v="Kochi"/>
    <x v="0"/>
    <x v="0"/>
    <s v="Max Paper 334"/>
    <x v="3"/>
    <n v="7"/>
    <n v="1136.68"/>
    <m/>
    <n v="7956.76"/>
    <n v="4799.54"/>
    <n v="3157.22"/>
    <x v="0"/>
    <x v="0"/>
    <s v="September"/>
    <s v="OK"/>
    <s v="OK"/>
    <n v="0"/>
    <n v="1"/>
    <n v="3157.2200000000003"/>
    <n v="7956.76"/>
    <n v="4"/>
    <s v="South"/>
    <s v="Clean"/>
    <s v="Standard Class"/>
  </r>
  <r>
    <s v="Ord-2024-10381"/>
    <x v="245"/>
    <d v="2024-04-14T00:00:00"/>
    <s v="Cust-5779"/>
    <s v="Vikram Iyer"/>
    <x v="0"/>
    <x v="3"/>
    <x v="3"/>
    <s v="Mumbai"/>
    <x v="1"/>
    <x v="10"/>
    <s v="Prime Bookcases 952"/>
    <x v="1"/>
    <n v="5"/>
    <n v="2235.85"/>
    <n v="0.25"/>
    <n v="8384.44"/>
    <n v="4765.96"/>
    <n v="3618.48"/>
    <x v="0"/>
    <x v="2"/>
    <s v="April"/>
    <s v="Invalid"/>
    <s v="OK"/>
    <n v="0.25"/>
    <n v="1"/>
    <n v="3618.4775"/>
    <n v="8384.4375"/>
    <n v="-81"/>
    <s v="West"/>
    <s v="ivalid"/>
    <s v="Same Day"/>
  </r>
  <r>
    <s v="Ord-2025-10382"/>
    <x v="283"/>
    <d v="2025-09-23T00:00:00"/>
    <s v="Cust-9943"/>
    <s v="Arjun Bose"/>
    <x v="3"/>
    <x v="0"/>
    <x v="18"/>
    <s v="New Delhi"/>
    <x v="0"/>
    <x v="9"/>
    <s v="Prime Binders 523"/>
    <x v="3"/>
    <n v="4"/>
    <n v="4387.1499999999996"/>
    <n v="0.05"/>
    <n v="16671.169999999998"/>
    <n v="10833.19"/>
    <n v="5837.98"/>
    <x v="3"/>
    <x v="1"/>
    <s v="September"/>
    <s v="OK"/>
    <s v="OK"/>
    <n v="0.05"/>
    <n v="1"/>
    <n v="5837.9799999999977"/>
    <n v="16671.169999999998"/>
    <n v="4"/>
    <s v="North"/>
    <s v="Clean"/>
    <s v="Standard Class"/>
  </r>
  <r>
    <s v="Ord-2025-10383"/>
    <x v="284"/>
    <d v="2025-08-03T00:00:00"/>
    <s v="Cust-7098"/>
    <s v="Arjun Bose"/>
    <x v="1"/>
    <x v="1"/>
    <x v="9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s v="August"/>
    <s v="OK"/>
    <s v="OK"/>
    <n v="0.2"/>
    <n v="1"/>
    <n v="2068.5700000000015"/>
    <n v="10468.440000000002"/>
    <n v="122"/>
    <s v="East"/>
    <s v="Clean"/>
    <s v="First Class"/>
  </r>
  <r>
    <s v="Ord-2025-10384"/>
    <x v="193"/>
    <d v="2025-07-05T00:00:00"/>
    <s v="Cust-7438"/>
    <s v="Vikram Iyer"/>
    <x v="2"/>
    <x v="1"/>
    <x v="6"/>
    <s v="Kolkata"/>
    <x v="0"/>
    <x v="2"/>
    <s v="Basic Art 608"/>
    <x v="2"/>
    <n v="2"/>
    <n v="2242.75"/>
    <n v="0"/>
    <n v="4485.5"/>
    <n v="3131.86"/>
    <n v="1353.64"/>
    <x v="0"/>
    <x v="1"/>
    <s v="July"/>
    <s v="OK"/>
    <s v="OK"/>
    <n v="0"/>
    <n v="1"/>
    <n v="1353.6399999999999"/>
    <n v="4485.5"/>
    <n v="7"/>
    <s v="East"/>
    <s v="Clean"/>
    <s v="First Class"/>
  </r>
  <r>
    <s v="Ord-2024-10385"/>
    <x v="153"/>
    <d v="2024-03-20T00:00:00"/>
    <s v="Cust-8432"/>
    <s v="Rohan Mehta"/>
    <x v="0"/>
    <x v="1"/>
    <x v="15"/>
    <s v="Ranchi"/>
    <x v="2"/>
    <x v="6"/>
    <s v="Prime Copiers 820"/>
    <x v="3"/>
    <n v="2"/>
    <n v="1881.4"/>
    <n v="0.25"/>
    <n v="2822.1"/>
    <n v="1624.57"/>
    <n v="1197.53"/>
    <x v="0"/>
    <x v="2"/>
    <s v="March"/>
    <s v="OK"/>
    <s v="OK"/>
    <n v="0.25"/>
    <n v="1"/>
    <n v="1197.5300000000004"/>
    <n v="2822.1000000000004"/>
    <n v="5"/>
    <s v="East"/>
    <s v="Clean"/>
    <s v="Standard Class"/>
  </r>
  <r>
    <s v="Ord-2025-10386"/>
    <x v="156"/>
    <d v="2025-06-30T00:00:00"/>
    <s v="Cust-2834"/>
    <s v="Arjun Bose"/>
    <x v="0"/>
    <x v="0"/>
    <x v="16"/>
    <s v="Gurugram"/>
    <x v="0"/>
    <x v="7"/>
    <s v="Classic Labels 670"/>
    <x v="3"/>
    <n v="6"/>
    <n v="365.76"/>
    <n v="0.1"/>
    <n v="1975.1"/>
    <n v="1115.3499999999999"/>
    <n v="859.75"/>
    <x v="0"/>
    <x v="0"/>
    <s v="June"/>
    <s v="OK"/>
    <s v="OK"/>
    <n v="0.1"/>
    <n v="1"/>
    <n v="859.75400000000013"/>
    <n v="1975.104"/>
    <n v="6"/>
    <s v="North"/>
    <s v="Clean"/>
    <s v="Standard Class"/>
  </r>
  <r>
    <s v="Ord-2025-10387"/>
    <x v="285"/>
    <d v="2025-02-14T00:00:00"/>
    <s v="Cust-4222"/>
    <s v="Sneha Kapoor"/>
    <x v="0"/>
    <x v="3"/>
    <x v="3"/>
    <s v="Mumbai"/>
    <x v="1"/>
    <x v="3"/>
    <s v="Prime Furnishings 597"/>
    <x v="0"/>
    <n v="8"/>
    <n v="2786.66"/>
    <n v="0.1"/>
    <n v="20063.95"/>
    <n v="14363.38"/>
    <n v="5700.57"/>
    <x v="0"/>
    <x v="0"/>
    <s v="February"/>
    <s v="Invalid"/>
    <s v="OK"/>
    <n v="0.1"/>
    <n v="1"/>
    <n v="5700.5720000000019"/>
    <n v="20063.952000000001"/>
    <n v="-291"/>
    <s v="West"/>
    <s v="ivalid"/>
    <s v="Second Class"/>
  </r>
  <r>
    <s v="Ord-2025-10388"/>
    <x v="286"/>
    <d v="2025-08-13T00:00:00"/>
    <s v="Cust-1053"/>
    <s v="Priya Menon"/>
    <x v="1"/>
    <x v="3"/>
    <x v="4"/>
    <s v="Indore"/>
    <x v="1"/>
    <x v="4"/>
    <s v="Prime Chairs 196"/>
    <x v="3"/>
    <n v="5"/>
    <n v="352.86"/>
    <n v="0"/>
    <n v="1764.3"/>
    <n v="1332.49"/>
    <n v="431.81"/>
    <x v="2"/>
    <x v="1"/>
    <s v="August"/>
    <s v="OK"/>
    <s v="OK"/>
    <n v="0"/>
    <n v="1"/>
    <n v="431.81000000000017"/>
    <n v="1764.3000000000002"/>
    <n v="3"/>
    <s v="West"/>
    <s v="Clean"/>
    <s v="Standard Class"/>
  </r>
  <r>
    <s v="Ord-2024-10389"/>
    <x v="287"/>
    <d v="2024-05-18T00:00:00"/>
    <s v="Cust-1457"/>
    <s v="Isha Nair"/>
    <x v="1"/>
    <x v="3"/>
    <x v="12"/>
    <s v="Ahmedabad"/>
    <x v="1"/>
    <x v="4"/>
    <s v="Elite Chairs 639"/>
    <x v="3"/>
    <n v="3"/>
    <n v="3128.59"/>
    <n v="0"/>
    <n v="9385.77"/>
    <n v="6872.44"/>
    <n v="2783.66"/>
    <x v="0"/>
    <x v="0"/>
    <s v="May"/>
    <s v="OK"/>
    <s v="OK"/>
    <n v="0"/>
    <n v="1"/>
    <n v="2513.3300000000008"/>
    <n v="9385.77"/>
    <n v="5"/>
    <s v="West"/>
    <s v="Clean"/>
    <s v="Standard Class"/>
  </r>
  <r>
    <s v="Ord-2024-10390"/>
    <x v="236"/>
    <d v="2024-04-13T00:00:00"/>
    <s v="Cust-3930"/>
    <s v="Diya Patel"/>
    <x v="2"/>
    <x v="3"/>
    <x v="12"/>
    <s v="Ahmedabad"/>
    <x v="2"/>
    <x v="12"/>
    <s v="Elite Machines 563"/>
    <x v="0"/>
    <n v="5"/>
    <n v="1937.54"/>
    <n v="0.2"/>
    <n v="7750.16"/>
    <n v="5434.3"/>
    <n v="2315.86"/>
    <x v="2"/>
    <x v="1"/>
    <s v="April"/>
    <s v="Invalid"/>
    <s v="OK"/>
    <n v="0.2"/>
    <n v="1"/>
    <n v="2315.8600000000006"/>
    <n v="7750.1600000000008"/>
    <n v="-21"/>
    <s v="West"/>
    <s v="ivalid"/>
    <s v="Second Class"/>
  </r>
  <r>
    <s v="Ord-2024-10391"/>
    <x v="288"/>
    <d v="2024-11-11T00:00:00"/>
    <s v="Cust-7853"/>
    <s v="Isha Nair"/>
    <x v="0"/>
    <x v="3"/>
    <x v="12"/>
    <s v="Ahmedabad"/>
    <x v="1"/>
    <x v="3"/>
    <s v="Pro Furnishings 281"/>
    <x v="3"/>
    <n v="4"/>
    <n v="1917.26"/>
    <n v="0.2"/>
    <n v="6135.23"/>
    <n v="3439.79"/>
    <n v="2695.44"/>
    <x v="0"/>
    <x v="0"/>
    <s v="November"/>
    <s v="OK"/>
    <s v="OK"/>
    <n v="0.2"/>
    <n v="1"/>
    <n v="2695.442"/>
    <n v="6135.232"/>
    <n v="153"/>
    <s v="West"/>
    <s v="Clean"/>
    <s v="Standard Class"/>
  </r>
  <r>
    <s v="Ord-2025-10392"/>
    <x v="289"/>
    <d v="2025-02-14T00:00:00"/>
    <s v="Cust-2267"/>
    <s v="Diya Patel"/>
    <x v="0"/>
    <x v="2"/>
    <x v="11"/>
    <s v="Bengaluru"/>
    <x v="0"/>
    <x v="8"/>
    <s v="Eco Storage 285"/>
    <x v="2"/>
    <n v="1"/>
    <n v="714.43"/>
    <n v="0"/>
    <n v="714.43"/>
    <n v="565.44000000000005"/>
    <n v="148.99"/>
    <x v="0"/>
    <x v="0"/>
    <s v="February"/>
    <s v="Invalid"/>
    <s v="OK"/>
    <n v="0"/>
    <n v="1"/>
    <n v="148.9899999999999"/>
    <n v="714.43"/>
    <n v="0"/>
    <s v="South"/>
    <s v="Clean"/>
    <s v="First Class"/>
  </r>
  <r>
    <s v="Ord-2024-10393"/>
    <x v="290"/>
    <d v="2024-02-22T00:00:00"/>
    <s v="Cust-6866"/>
    <s v="Aditi Sen"/>
    <x v="1"/>
    <x v="2"/>
    <x v="13"/>
    <s v="Kochi"/>
    <x v="1"/>
    <x v="3"/>
    <s v="Classic Furnishings 746"/>
    <x v="1"/>
    <n v="9"/>
    <n v="4053.01"/>
    <n v="0"/>
    <n v="36477.089999999997"/>
    <n v="24525.48"/>
    <n v="11951.61"/>
    <x v="0"/>
    <x v="0"/>
    <s v="February"/>
    <s v="OK"/>
    <s v="OK"/>
    <n v="0"/>
    <n v="1"/>
    <n v="11951.610000000004"/>
    <n v="36477.090000000004"/>
    <n v="3"/>
    <s v="South"/>
    <s v="Clean"/>
    <s v="Same Day"/>
  </r>
  <r>
    <s v="Ord-2024-10394"/>
    <x v="204"/>
    <d v="2024-08-29T00:00:00"/>
    <s v="Cust-3160"/>
    <s v="Mira Das"/>
    <x v="2"/>
    <x v="0"/>
    <x v="8"/>
    <s v="Noida"/>
    <x v="0"/>
    <x v="7"/>
    <s v="Eco Labels 815"/>
    <x v="1"/>
    <n v="2"/>
    <n v="1936.91"/>
    <n v="0.05"/>
    <n v="3680.13"/>
    <n v="2967.46"/>
    <n v="712.67"/>
    <x v="0"/>
    <x v="0"/>
    <s v="August"/>
    <s v="OK"/>
    <s v="OK"/>
    <n v="0.05"/>
    <n v="1"/>
    <n v="712.66899999999987"/>
    <n v="3680.1289999999999"/>
    <n v="6"/>
    <s v="North"/>
    <s v="Clean"/>
    <s v="Same Day"/>
  </r>
  <r>
    <s v="Ord-2024-10395"/>
    <x v="23"/>
    <d v="2024-04-04T00:00:00"/>
    <s v="Cust-8444"/>
    <s v="Kabir Singh"/>
    <x v="0"/>
    <x v="3"/>
    <x v="3"/>
    <s v="Mumbai"/>
    <x v="1"/>
    <x v="3"/>
    <s v="Prime Furnishings 879"/>
    <x v="2"/>
    <n v="7"/>
    <n v="3945.21"/>
    <n v="0"/>
    <n v="27616.47"/>
    <n v="21225.26"/>
    <n v="6391.21"/>
    <x v="0"/>
    <x v="0"/>
    <s v="April"/>
    <s v="OK"/>
    <s v="OK"/>
    <n v="0"/>
    <n v="1"/>
    <n v="6391.2100000000028"/>
    <n v="27616.47"/>
    <n v="1"/>
    <s v="West"/>
    <s v="Clean"/>
    <s v="First Class"/>
  </r>
  <r>
    <s v="Ord-2024-10396"/>
    <x v="291"/>
    <d v="2024-07-06T00:00:00"/>
    <s v="Cust-4765"/>
    <s v="Rahul Verma"/>
    <x v="3"/>
    <x v="2"/>
    <x v="17"/>
    <s v="Chennai"/>
    <x v="1"/>
    <x v="1"/>
    <s v="Pro Tables 142"/>
    <x v="1"/>
    <n v="7"/>
    <n v="861.91"/>
    <n v="0.05"/>
    <n v="5731.7"/>
    <n v="4115.5600000000004"/>
    <n v="1616.14"/>
    <x v="0"/>
    <x v="0"/>
    <s v="July"/>
    <s v="OK"/>
    <s v="OK"/>
    <n v="0.05"/>
    <n v="1"/>
    <n v="1616.1414999999988"/>
    <n v="5731.7014999999992"/>
    <n v="30"/>
    <s v="South"/>
    <s v="Clean"/>
    <s v="Same Day"/>
  </r>
  <r>
    <s v="Ord-2025-10397"/>
    <x v="292"/>
    <d v="2025-04-22T00:00:00"/>
    <s v="Cust-2280"/>
    <s v="Aditi Sen"/>
    <x v="1"/>
    <x v="2"/>
    <x v="11"/>
    <s v="Bengaluru"/>
    <x v="2"/>
    <x v="12"/>
    <s v="Prime Machines 267"/>
    <x v="3"/>
    <n v="2"/>
    <n v="638.73"/>
    <n v="0.05"/>
    <n v="1213.5899999999999"/>
    <n v="956.22"/>
    <n v="257.37"/>
    <x v="0"/>
    <x v="0"/>
    <s v="April"/>
    <s v="OK"/>
    <s v="OK"/>
    <n v="0.05"/>
    <n v="1"/>
    <n v="257.36699999999996"/>
    <n v="1213.587"/>
    <n v="8"/>
    <s v="South"/>
    <s v="Clean"/>
    <s v="Standard Class"/>
  </r>
  <r>
    <s v="Ord-2025-10398"/>
    <x v="293"/>
    <d v="2025-06-10T00:00:00"/>
    <s v="Cust-3177"/>
    <s v="Sneha Kapoor"/>
    <x v="1"/>
    <x v="0"/>
    <x v="8"/>
    <s v="Noida"/>
    <x v="1"/>
    <x v="1"/>
    <s v="Eco Tables 378"/>
    <x v="0"/>
    <n v="2"/>
    <n v="1731.88"/>
    <n v="0"/>
    <n v="3463.76"/>
    <n v="2143.7399999999998"/>
    <n v="1320.02"/>
    <x v="0"/>
    <x v="0"/>
    <s v="June"/>
    <s v="Invalid"/>
    <s v="OK"/>
    <n v="0"/>
    <n v="1"/>
    <n v="1320.0200000000004"/>
    <n v="3463.76"/>
    <n v="-88"/>
    <s v="North"/>
    <s v="ivalid"/>
    <s v="Second Class"/>
  </r>
  <r>
    <s v="Ord-2024-10399"/>
    <x v="43"/>
    <d v="2024-07-26T00:00:00"/>
    <s v="Cust-4718"/>
    <s v="Vikram Iyer"/>
    <x v="2"/>
    <x v="0"/>
    <x v="7"/>
    <s v="Ludhiana"/>
    <x v="2"/>
    <x v="12"/>
    <s v="Elite Machines 523"/>
    <x v="1"/>
    <n v="2"/>
    <n v="1263.6500000000001"/>
    <n v="0.2"/>
    <n v="2021.84"/>
    <n v="1355.22"/>
    <n v="666.62"/>
    <x v="0"/>
    <x v="0"/>
    <s v="July"/>
    <s v="OK"/>
    <s v="OK"/>
    <n v="0.2"/>
    <n v="1"/>
    <n v="666.62000000000012"/>
    <n v="2021.8400000000001"/>
    <n v="7"/>
    <s v="North"/>
    <s v="Clean"/>
    <s v="Same Day"/>
  </r>
  <r>
    <s v="Ord-2025-10400"/>
    <x v="294"/>
    <d v="2025-04-29T00:00:00"/>
    <s v="Cust-5647"/>
    <s v="Diya Patel"/>
    <x v="1"/>
    <x v="2"/>
    <x v="5"/>
    <s v="Vijayawada"/>
    <x v="0"/>
    <x v="0"/>
    <s v="Elite Paper 308"/>
    <x v="1"/>
    <n v="1"/>
    <n v="4358.5"/>
    <n v="0.25"/>
    <n v="3268.88"/>
    <n v="1993.74"/>
    <n v="1275.1400000000001"/>
    <x v="0"/>
    <x v="0"/>
    <s v="April"/>
    <s v="OK"/>
    <s v="OK"/>
    <n v="0.25"/>
    <n v="1"/>
    <n v="1275.135"/>
    <n v="3268.875"/>
    <n v="5"/>
    <s v="South"/>
    <s v="Clean"/>
    <s v="Same Day"/>
  </r>
  <r>
    <s v="Ord-2025-10401"/>
    <x v="295"/>
    <d v="2025-06-11T00:00:00"/>
    <s v="Cust-7150"/>
    <s v="Sneha Kapoor"/>
    <x v="1"/>
    <x v="0"/>
    <x v="8"/>
    <s v="Noida"/>
    <x v="0"/>
    <x v="0"/>
    <s v="Prime Paper 851"/>
    <x v="1"/>
    <n v="7"/>
    <n v="878.09"/>
    <n v="-0.1"/>
    <n v="5839.3"/>
    <n v="4877.38"/>
    <n v="961.92"/>
    <x v="0"/>
    <x v="0"/>
    <s v="June"/>
    <s v="OK"/>
    <s v="Negative Discount"/>
    <n v="-0.1"/>
    <n v="1"/>
    <n v="1883.9130000000005"/>
    <n v="6761.2930000000006"/>
    <n v="5"/>
    <s v="North"/>
    <s v="ivalid"/>
    <s v="Same Day"/>
  </r>
  <r>
    <s v="Ord-2025-10402"/>
    <x v="296"/>
    <d v="2025-03-16T00:00:00"/>
    <s v="Cust-6694"/>
    <s v="Arjun Bose"/>
    <x v="1"/>
    <x v="1"/>
    <x v="15"/>
    <s v="Ranchi"/>
    <x v="1"/>
    <x v="1"/>
    <s v="Classic Tables 151"/>
    <x v="1"/>
    <n v="3"/>
    <n v="2625.85"/>
    <n v="0"/>
    <n v="7877.55"/>
    <n v="5562.77"/>
    <n v="2314.7800000000002"/>
    <x v="0"/>
    <x v="0"/>
    <s v="March"/>
    <s v="Invalid"/>
    <s v="OK"/>
    <n v="0"/>
    <n v="1"/>
    <n v="2314.7799999999988"/>
    <n v="7877.5499999999993"/>
    <n v="-171"/>
    <s v="East"/>
    <s v="ivalid"/>
    <s v="Same Day"/>
  </r>
  <r>
    <s v="Ord-2024-10403"/>
    <x v="297"/>
    <d v="2024-03-22T00:00:00"/>
    <s v="Cust-7680"/>
    <s v="Priya Menon"/>
    <x v="1"/>
    <x v="2"/>
    <x v="11"/>
    <s v="Bengaluru"/>
    <x v="1"/>
    <x v="1"/>
    <s v="Smart Tables 829"/>
    <x v="4"/>
    <n v="3"/>
    <n v="1365.26"/>
    <n v="0"/>
    <n v="4095.78"/>
    <n v="2807.77"/>
    <n v="1288.01"/>
    <x v="0"/>
    <x v="0"/>
    <s v="March"/>
    <s v="Invalid"/>
    <s v="OK"/>
    <n v="0"/>
    <n v="1"/>
    <n v="1288.0099999999998"/>
    <n v="4095.7799999999997"/>
    <n v="0"/>
    <s v="South"/>
    <s v="Clean"/>
    <s v="Unknown"/>
  </r>
  <r>
    <s v="Ord-2024-10404"/>
    <x v="152"/>
    <d v="2024-10-04T00:00:00"/>
    <s v="Cust-2700"/>
    <s v="Arjun Bose"/>
    <x v="1"/>
    <x v="2"/>
    <x v="13"/>
    <s v="Kochi"/>
    <x v="0"/>
    <x v="0"/>
    <s v="Classic Paper 237"/>
    <x v="1"/>
    <n v="5"/>
    <n v="3512.25"/>
    <n v="0.05"/>
    <n v="16683.189999999999"/>
    <n v="10301.16"/>
    <n v="6382.03"/>
    <x v="0"/>
    <x v="2"/>
    <s v="October"/>
    <s v="OK"/>
    <s v="OK"/>
    <n v="0.05"/>
    <n v="1"/>
    <n v="6382.0275000000001"/>
    <n v="16683.1875"/>
    <n v="4"/>
    <s v="South"/>
    <s v="Clean"/>
    <s v="Same Day"/>
  </r>
  <r>
    <s v="Ord-2024-10405"/>
    <x v="114"/>
    <d v="2024-03-02T00:00:00"/>
    <s v="Cust-2904"/>
    <s v="Aditi Sen"/>
    <x v="2"/>
    <x v="3"/>
    <x v="0"/>
    <s v="Udaipur"/>
    <x v="1"/>
    <x v="4"/>
    <s v="Prime Chairs 891"/>
    <x v="1"/>
    <n v="3"/>
    <n v="359.61"/>
    <n v="0"/>
    <n v="1078.83"/>
    <n v="926.35"/>
    <n v="152.47999999999999"/>
    <x v="0"/>
    <x v="0"/>
    <s v="March"/>
    <s v="OK"/>
    <s v="OK"/>
    <n v="0"/>
    <n v="1"/>
    <n v="152.4799999999999"/>
    <n v="1078.83"/>
    <n v="35"/>
    <s v="West"/>
    <s v="Clean"/>
    <s v="Same Day"/>
  </r>
  <r>
    <s v="Ord-2024-10406"/>
    <x v="298"/>
    <d v="2024-09-24T00:00:00"/>
    <s v="Cust-9961"/>
    <s v="Aditi Sen"/>
    <x v="3"/>
    <x v="3"/>
    <x v="12"/>
    <s v="Ahmedabad"/>
    <x v="1"/>
    <x v="10"/>
    <s v="Max Bookcases 812"/>
    <x v="4"/>
    <n v="7"/>
    <n v="3878.01"/>
    <n v="0.1"/>
    <n v="24431.46"/>
    <n v="18202.36"/>
    <n v="6229.1"/>
    <x v="0"/>
    <x v="0"/>
    <s v="September"/>
    <s v="OK"/>
    <s v="OK"/>
    <n v="0.1"/>
    <n v="1"/>
    <n v="6229.1029999999992"/>
    <n v="24431.463"/>
    <n v="1"/>
    <s v="West"/>
    <s v="Clean"/>
    <s v="Unknown"/>
  </r>
  <r>
    <s v="Ord-2025-10407"/>
    <x v="299"/>
    <d v="2025-02-25T00:00:00"/>
    <s v="Cust-9909"/>
    <s v="Kabir Singh"/>
    <x v="1"/>
    <x v="3"/>
    <x v="14"/>
    <s v="Panaji"/>
    <x v="1"/>
    <x v="3"/>
    <s v="Basic Furnishings 164"/>
    <x v="3"/>
    <n v="2"/>
    <n v="3924.2"/>
    <n v="0.25"/>
    <n v="5886.3"/>
    <n v="3621.76"/>
    <n v="2264.54"/>
    <x v="2"/>
    <x v="2"/>
    <s v="February"/>
    <s v="Invalid"/>
    <s v="OK"/>
    <n v="0.25"/>
    <n v="1"/>
    <n v="2264.5399999999991"/>
    <n v="5886.2999999999993"/>
    <n v="0"/>
    <s v="West"/>
    <s v="Clean"/>
    <s v="Standard Class"/>
  </r>
  <r>
    <s v="Ord-2024-10408"/>
    <x v="300"/>
    <d v="2024-05-13T00:00:00"/>
    <s v="Cust-8520"/>
    <s v="Rahul Verma"/>
    <x v="2"/>
    <x v="3"/>
    <x v="14"/>
    <s v="Panaji"/>
    <x v="0"/>
    <x v="7"/>
    <s v="Smart Labels 261"/>
    <x v="0"/>
    <n v="3"/>
    <n v="2644.55"/>
    <n v="0"/>
    <n v="7933.65"/>
    <n v="5698.42"/>
    <n v="2235.23"/>
    <x v="0"/>
    <x v="0"/>
    <s v="May"/>
    <s v="Invalid"/>
    <s v="OK"/>
    <n v="0"/>
    <n v="1"/>
    <n v="2235.2300000000005"/>
    <n v="7933.6500000000005"/>
    <n v="-206"/>
    <s v="West"/>
    <s v="ivalid"/>
    <s v="Second Class"/>
  </r>
  <r>
    <s v="Ord-2025-10409"/>
    <x v="208"/>
    <d v="2025-03-08T00:00:00"/>
    <s v="Cust-5036"/>
    <s v="Sneha Kapoor"/>
    <x v="0"/>
    <x v="3"/>
    <x v="3"/>
    <s v="Mumbai"/>
    <x v="1"/>
    <x v="4"/>
    <s v="Max Chairs 765"/>
    <x v="2"/>
    <n v="4"/>
    <n v="1773.46"/>
    <n v="0"/>
    <n v="7093.84"/>
    <n v="4587.49"/>
    <n v="2506.35"/>
    <x v="3"/>
    <x v="2"/>
    <s v="March"/>
    <s v="OK"/>
    <s v="OK"/>
    <n v="0"/>
    <n v="1"/>
    <n v="2506.3500000000004"/>
    <n v="7093.84"/>
    <n v="59"/>
    <s v="West"/>
    <s v="Clean"/>
    <s v="First Class"/>
  </r>
  <r>
    <s v="Ord-2025-10410"/>
    <x v="228"/>
    <d v="2025-02-15T00:00:00"/>
    <s v="Cust-7721"/>
    <s v="Karan Malhotra"/>
    <x v="0"/>
    <x v="1"/>
    <x v="10"/>
    <s v="Guwahati"/>
    <x v="2"/>
    <x v="5"/>
    <s v="Pro Accessories 686"/>
    <x v="1"/>
    <n v="1"/>
    <n v="3025.46"/>
    <n v="0.25"/>
    <n v="2269.1"/>
    <n v="1593.59"/>
    <n v="675.51"/>
    <x v="1"/>
    <x v="2"/>
    <s v="February"/>
    <s v="OK"/>
    <s v="OK"/>
    <n v="0.25"/>
    <n v="1"/>
    <n v="675.50500000000034"/>
    <n v="2269.0950000000003"/>
    <n v="2"/>
    <s v="East"/>
    <s v="Clean"/>
    <s v="Same Day"/>
  </r>
  <r>
    <s v="Ord-2024-10411"/>
    <x v="260"/>
    <d v="2024-04-20T00:00:00"/>
    <s v="Cust-9495"/>
    <s v="Diya Patel"/>
    <x v="0"/>
    <x v="3"/>
    <x v="14"/>
    <s v="Panaji"/>
    <x v="1"/>
    <x v="1"/>
    <s v="Smart Tables 100"/>
    <x v="2"/>
    <n v="9"/>
    <n v="1302.6099999999999"/>
    <n v="0.2"/>
    <n v="9378.7900000000009"/>
    <n v="6774.48"/>
    <n v="2604.31"/>
    <x v="0"/>
    <x v="0"/>
    <s v="April"/>
    <s v="Invalid"/>
    <s v="OK"/>
    <n v="0.2"/>
    <n v="1"/>
    <n v="2604.3119999999999"/>
    <n v="9378.7919999999995"/>
    <n v="-228"/>
    <s v="West"/>
    <s v="ivalid"/>
    <s v="First Class"/>
  </r>
  <r>
    <s v="Ord-2025-10412"/>
    <x v="100"/>
    <d v="2025-08-28T00:00:00"/>
    <s v="Cust-2855"/>
    <s v="Arjun Bose"/>
    <x v="3"/>
    <x v="3"/>
    <x v="0"/>
    <s v="Udaipur"/>
    <x v="1"/>
    <x v="1"/>
    <s v="Basic Tables 615"/>
    <x v="2"/>
    <n v="1"/>
    <n v="4167.8100000000004"/>
    <n v="0.2"/>
    <n v="3334.25"/>
    <n v="2768.77"/>
    <n v="565.48"/>
    <x v="3"/>
    <x v="2"/>
    <s v="August"/>
    <s v="OK"/>
    <s v="OK"/>
    <n v="0.2"/>
    <n v="1"/>
    <n v="565.47800000000052"/>
    <n v="3334.2480000000005"/>
    <n v="5"/>
    <s v="West"/>
    <s v="Clean"/>
    <s v="First Class"/>
  </r>
  <r>
    <s v="Ord-2024-10413"/>
    <x v="167"/>
    <d v="2024-01-30T00:00:00"/>
    <s v="Cust-4329"/>
    <s v="Isha Nair"/>
    <x v="2"/>
    <x v="2"/>
    <x v="11"/>
    <s v="Bengaluru"/>
    <x v="1"/>
    <x v="4"/>
    <s v="Basic Chairs 790"/>
    <x v="1"/>
    <n v="1"/>
    <n v="2111.39"/>
    <n v="0.25"/>
    <n v="1583.54"/>
    <n v="1014.19"/>
    <n v="569.35"/>
    <x v="0"/>
    <x v="0"/>
    <s v="January"/>
    <s v="OK"/>
    <s v="OK"/>
    <n v="0.25"/>
    <n v="1"/>
    <n v="569.35249999999996"/>
    <n v="1583.5425"/>
    <n v="8"/>
    <s v="South"/>
    <s v="Clean"/>
    <s v="Same Day"/>
  </r>
  <r>
    <s v="Ord-2025-10414"/>
    <x v="27"/>
    <d v="2025-08-17T00:00:00"/>
    <s v="Cust-5094"/>
    <s v="Neha Gupta"/>
    <x v="3"/>
    <x v="3"/>
    <x v="4"/>
    <s v="Indore"/>
    <x v="2"/>
    <x v="5"/>
    <s v="Smart Accessories 226"/>
    <x v="0"/>
    <n v="8"/>
    <n v="1918.23"/>
    <n v="0"/>
    <n v="15345.84"/>
    <n v="10735.33"/>
    <n v="4610.51"/>
    <x v="2"/>
    <x v="1"/>
    <s v="August"/>
    <s v="OK"/>
    <s v="OK"/>
    <n v="0"/>
    <n v="1"/>
    <n v="4610.51"/>
    <n v="15345.84"/>
    <n v="4"/>
    <s v="West"/>
    <s v="Clean"/>
    <s v="Second Class"/>
  </r>
  <r>
    <s v="Ord-2024-10415"/>
    <x v="301"/>
    <d v="2024-08-30T00:00:00"/>
    <s v="Cust-4194"/>
    <s v="Arjun Bose"/>
    <x v="3"/>
    <x v="1"/>
    <x v="10"/>
    <s v="Guwahati"/>
    <x v="0"/>
    <x v="8"/>
    <s v="Max Storage 692"/>
    <x v="2"/>
    <n v="4"/>
    <n v="2484.08"/>
    <n v="0.05"/>
    <n v="9439.5"/>
    <n v="5519.39"/>
    <n v="3920.11"/>
    <x v="0"/>
    <x v="0"/>
    <s v="August"/>
    <s v="OK"/>
    <s v="OK"/>
    <n v="0.05"/>
    <n v="1"/>
    <n v="3920.1139999999987"/>
    <n v="9439.503999999999"/>
    <n v="1"/>
    <s v="East"/>
    <s v="Clean"/>
    <s v="First Class"/>
  </r>
  <r>
    <s v="Ord-2024-10416"/>
    <x v="60"/>
    <d v="2024-01-27T00:00:00"/>
    <s v="Cust-7087"/>
    <s v="Aarav Sharma"/>
    <x v="2"/>
    <x v="2"/>
    <x v="11"/>
    <s v="Bengaluru"/>
    <x v="0"/>
    <x v="8"/>
    <s v="Basic Storage 684"/>
    <x v="1"/>
    <n v="7"/>
    <n v="1727.26"/>
    <n v="0.15"/>
    <n v="10277.200000000001"/>
    <n v="7906.5"/>
    <n v="2370.6999999999998"/>
    <x v="0"/>
    <x v="2"/>
    <s v="January"/>
    <s v="OK"/>
    <s v="OK"/>
    <n v="0.15"/>
    <n v="1"/>
    <n v="2370.6970000000001"/>
    <n v="10277.197"/>
    <n v="2"/>
    <s v="South"/>
    <s v="Clean"/>
    <s v="Same Day"/>
  </r>
  <r>
    <s v="Ord-2025-10417"/>
    <x v="302"/>
    <d v="2025-01-16T00:00:00"/>
    <s v="Cust-7608"/>
    <s v="Neha Gupta"/>
    <x v="0"/>
    <x v="2"/>
    <x v="2"/>
    <s v="Hyderabad"/>
    <x v="1"/>
    <x v="3"/>
    <s v="Smart Furnishings 152"/>
    <x v="2"/>
    <n v="8"/>
    <n v="638.95000000000005"/>
    <n v="0.25"/>
    <n v="3833.7"/>
    <n v="2886.35"/>
    <n v="947.35"/>
    <x v="0"/>
    <x v="0"/>
    <s v="January"/>
    <s v="Invalid"/>
    <s v="OK"/>
    <n v="0.25"/>
    <n v="1"/>
    <n v="947.35000000000036"/>
    <n v="3833.7000000000003"/>
    <n v="-197"/>
    <s v="South"/>
    <s v="ivalid"/>
    <s v="First Class"/>
  </r>
  <r>
    <s v="Ord-2025-10418"/>
    <x v="303"/>
    <d v="2025-05-02T00:00:00"/>
    <s v="Cust-5269"/>
    <s v="Mira Das"/>
    <x v="0"/>
    <x v="3"/>
    <x v="12"/>
    <s v="Ahmedabad"/>
    <x v="0"/>
    <x v="2"/>
    <s v="Max Art 736"/>
    <x v="2"/>
    <n v="6"/>
    <n v="3863"/>
    <n v="0.2"/>
    <n v="18542.400000000001"/>
    <n v="11193.75"/>
    <n v="7348.65"/>
    <x v="0"/>
    <x v="0"/>
    <s v="May"/>
    <s v="OK"/>
    <s v="OK"/>
    <n v="0.2"/>
    <n v="1"/>
    <n v="7348.6500000000015"/>
    <n v="18542.400000000001"/>
    <n v="93"/>
    <s v="West"/>
    <s v="Clean"/>
    <s v="First Class"/>
  </r>
  <r>
    <s v="Ord-2024-10419"/>
    <x v="304"/>
    <d v="2024-11-17T00:00:00"/>
    <s v="Cust-7925"/>
    <s v="Sneha Kapoor"/>
    <x v="2"/>
    <x v="1"/>
    <x v="1"/>
    <s v="Bhubaneswar"/>
    <x v="2"/>
    <x v="6"/>
    <s v="Elite Copiers 971"/>
    <x v="3"/>
    <n v="6"/>
    <n v="3660.4"/>
    <n v="0"/>
    <n v="21962.400000000001"/>
    <n v="15331.99"/>
    <n v="6630.41"/>
    <x v="3"/>
    <x v="1"/>
    <s v="November"/>
    <s v="OK"/>
    <s v="OK"/>
    <n v="0"/>
    <n v="1"/>
    <n v="6630.4100000000017"/>
    <n v="21962.400000000001"/>
    <n v="67"/>
    <s v="East"/>
    <s v="Clean"/>
    <s v="Standard Class"/>
  </r>
  <r>
    <s v="Ord-2025-10420"/>
    <x v="305"/>
    <d v="2025-09-30T00:00:00"/>
    <s v="Cust-6552"/>
    <s v="Sneha Kapoor"/>
    <x v="3"/>
    <x v="0"/>
    <x v="16"/>
    <s v="Gurugram"/>
    <x v="2"/>
    <x v="11"/>
    <s v="Classic Phones 940"/>
    <x v="1"/>
    <n v="2"/>
    <n v="688.83"/>
    <n v="0.05"/>
    <n v="1308.78"/>
    <n v="843"/>
    <n v="465.78"/>
    <x v="0"/>
    <x v="0"/>
    <s v="September"/>
    <s v="OK"/>
    <s v="OK"/>
    <n v="0.05"/>
    <n v="1"/>
    <n v="465.77700000000004"/>
    <n v="1308.777"/>
    <n v="4"/>
    <s v="North"/>
    <s v="Clean"/>
    <s v="Same Day"/>
  </r>
  <r>
    <s v="Ord-2025-10421"/>
    <x v="150"/>
    <d v="2025-03-19T00:00:00"/>
    <s v="Cust-7131"/>
    <s v="Isha Nair"/>
    <x v="2"/>
    <x v="2"/>
    <x v="17"/>
    <s v="Chennai"/>
    <x v="2"/>
    <x v="12"/>
    <s v="Pro Machines 579"/>
    <x v="3"/>
    <n v="2"/>
    <n v="1209.99"/>
    <n v="0.25"/>
    <n v="1814.99"/>
    <n v="1120.06"/>
    <n v="694.93"/>
    <x v="2"/>
    <x v="1"/>
    <s v="March"/>
    <s v="OK"/>
    <s v="OK"/>
    <n v="0.25"/>
    <n v="1"/>
    <n v="694.92500000000018"/>
    <n v="1814.9850000000001"/>
    <n v="1"/>
    <s v="South"/>
    <s v="Clean"/>
    <s v="Standard Class"/>
  </r>
  <r>
    <s v="Ord-2025-10422"/>
    <x v="306"/>
    <d v="2025-06-19T00:00:00"/>
    <s v="Cust-2779"/>
    <s v="Rohan Mehta"/>
    <x v="1"/>
    <x v="0"/>
    <x v="18"/>
    <s v="New Delhi"/>
    <x v="0"/>
    <x v="9"/>
    <s v="Elite Binders 943"/>
    <x v="1"/>
    <n v="3"/>
    <n v="1037.45"/>
    <n v="0.2"/>
    <n v="2489.88"/>
    <n v="1707.52"/>
    <n v="782.36"/>
    <x v="2"/>
    <x v="2"/>
    <s v="June"/>
    <s v="OK"/>
    <s v="OK"/>
    <n v="0.2"/>
    <n v="1"/>
    <n v="782.36000000000058"/>
    <n v="2489.8800000000006"/>
    <n v="5"/>
    <s v="North"/>
    <s v="Clean"/>
    <s v="Same Day"/>
  </r>
  <r>
    <s v="Ord-2025-10423"/>
    <x v="307"/>
    <d v="2025-09-06T00:00:00"/>
    <s v="Cust-6077"/>
    <s v="Kabir Singh"/>
    <x v="0"/>
    <x v="3"/>
    <x v="4"/>
    <s v="Indore"/>
    <x v="2"/>
    <x v="6"/>
    <s v="Elite Copiers 474"/>
    <x v="1"/>
    <n v="7"/>
    <n v="688.85"/>
    <n v="0.15"/>
    <n v="4098.66"/>
    <n v="2678.06"/>
    <n v="1420.6"/>
    <x v="0"/>
    <x v="0"/>
    <s v="September"/>
    <s v="OK"/>
    <s v="OK"/>
    <n v="0.15"/>
    <n v="1"/>
    <n v="1420.5974999999994"/>
    <n v="4098.6574999999993"/>
    <n v="181"/>
    <s v="West"/>
    <s v="Clean"/>
    <s v="Same Day"/>
  </r>
  <r>
    <s v="Ord-2024-10424"/>
    <x v="97"/>
    <d v="2024-02-27T00:00:00"/>
    <s v="Cust-6169"/>
    <s v="Diya Patel"/>
    <x v="0"/>
    <x v="2"/>
    <x v="13"/>
    <s v="Kochi"/>
    <x v="2"/>
    <x v="5"/>
    <s v="Prime Accessories 236"/>
    <x v="2"/>
    <n v="9"/>
    <n v="3779.31"/>
    <n v="0.2"/>
    <n v="27211.03"/>
    <n v="17940.43"/>
    <n v="9270.6"/>
    <x v="0"/>
    <x v="0"/>
    <s v="February"/>
    <s v="OK"/>
    <s v="OK"/>
    <n v="0.2"/>
    <n v="2"/>
    <n v="9270.6020000000026"/>
    <n v="27211.032000000003"/>
    <n v="7"/>
    <s v="South"/>
    <s v="Clean"/>
    <s v="First Class"/>
  </r>
  <r>
    <s v="Ord-2024-10425"/>
    <x v="308"/>
    <d v="2024-06-29T00:00:00"/>
    <s v="Cust-8904"/>
    <s v="Neha Gupta"/>
    <x v="2"/>
    <x v="0"/>
    <x v="7"/>
    <s v="Ludhiana"/>
    <x v="2"/>
    <x v="11"/>
    <s v="Prime Phones 881"/>
    <x v="3"/>
    <n v="8"/>
    <n v="804.52"/>
    <n v="0"/>
    <n v="6436.16"/>
    <n v="4263.83"/>
    <n v="2172.33"/>
    <x v="0"/>
    <x v="0"/>
    <s v="June"/>
    <s v="OK"/>
    <s v="OK"/>
    <n v="0"/>
    <n v="1"/>
    <n v="2172.33"/>
    <n v="6436.16"/>
    <n v="3"/>
    <s v="North"/>
    <s v="Clean"/>
    <s v="Standard Class"/>
  </r>
  <r>
    <s v="Ord-2024-10426"/>
    <x v="309"/>
    <d v="2024-09-27T00:00:00"/>
    <s v="Cust-9586"/>
    <s v="Isha Nair"/>
    <x v="3"/>
    <x v="0"/>
    <x v="18"/>
    <s v="New Delhi"/>
    <x v="0"/>
    <x v="7"/>
    <s v="Pro Labels 903"/>
    <x v="2"/>
    <n v="2"/>
    <n v="1065.69"/>
    <n v="0.1"/>
    <n v="1918.24"/>
    <n v="1373.52"/>
    <n v="544.72"/>
    <x v="1"/>
    <x v="1"/>
    <s v="September"/>
    <s v="OK"/>
    <s v="OK"/>
    <n v="0.1"/>
    <n v="1"/>
    <n v="544.72200000000021"/>
    <n v="1918.2420000000002"/>
    <n v="1"/>
    <s v="North"/>
    <s v="Clean"/>
    <s v="First Class"/>
  </r>
  <r>
    <s v="Ord-2024-10427"/>
    <x v="310"/>
    <d v="2024-07-01T00:00:00"/>
    <s v="Cust-5431"/>
    <s v="Aditi Sen"/>
    <x v="0"/>
    <x v="0"/>
    <x v="16"/>
    <s v="Gurugram"/>
    <x v="2"/>
    <x v="6"/>
    <s v="Max Copiers 402"/>
    <x v="1"/>
    <n v="8"/>
    <n v="3756.66"/>
    <n v="0.1"/>
    <n v="27047.95"/>
    <n v="18431.330000000002"/>
    <n v="8616.6200000000008"/>
    <x v="0"/>
    <x v="0"/>
    <s v="July"/>
    <s v="OK"/>
    <s v="OK"/>
    <n v="0.1"/>
    <n v="1"/>
    <n v="8616.6219999999994"/>
    <n v="27047.952000000001"/>
    <n v="1"/>
    <s v="North"/>
    <s v="Clean"/>
    <s v="Same Day"/>
  </r>
  <r>
    <s v="Ord-2025-10428"/>
    <x v="311"/>
    <d v="2025-04-24T00:00:00"/>
    <s v="Cust-8843"/>
    <s v="Isha Nair"/>
    <x v="2"/>
    <x v="4"/>
    <x v="15"/>
    <s v="Ranchi"/>
    <x v="2"/>
    <x v="5"/>
    <s v="Prime Accessories 419"/>
    <x v="3"/>
    <n v="9"/>
    <n v="2939.44"/>
    <n v="0"/>
    <n v="26454.959999999999"/>
    <n v="17630.25"/>
    <n v="8824.7099999999991"/>
    <x v="0"/>
    <x v="0"/>
    <s v="April"/>
    <s v="OK"/>
    <s v="OK"/>
    <n v="0"/>
    <n v="1"/>
    <n v="8824.7099999999991"/>
    <n v="26454.959999999999"/>
    <n v="2"/>
    <s v="Unknown"/>
    <s v="Clean"/>
    <s v="Standard Class"/>
  </r>
  <r>
    <s v="Ord-2025-10429"/>
    <x v="312"/>
    <d v="2025-03-22T00:00:00"/>
    <s v="Cust-7626"/>
    <s v="Karan Malhotra"/>
    <x v="1"/>
    <x v="1"/>
    <x v="6"/>
    <s v="Kolkata"/>
    <x v="2"/>
    <x v="11"/>
    <s v="Elite Phones 488"/>
    <x v="1"/>
    <n v="2"/>
    <n v="1235.93"/>
    <n v="0.25"/>
    <n v="1853.89"/>
    <n v="1101.23"/>
    <n v="752.66"/>
    <x v="2"/>
    <x v="1"/>
    <s v="March"/>
    <s v="OK"/>
    <s v="OK"/>
    <n v="0.25"/>
    <n v="1"/>
    <n v="752.66499999999996"/>
    <n v="1853.895"/>
    <n v="7"/>
    <s v="East"/>
    <s v="Clean"/>
    <s v="Same Day"/>
  </r>
  <r>
    <s v="Ord-2025-10430"/>
    <x v="313"/>
    <d v="2025-03-08T00:00:00"/>
    <s v="Cust-8562"/>
    <s v="Neha Gupta"/>
    <x v="3"/>
    <x v="0"/>
    <x v="0"/>
    <s v="Jaipur"/>
    <x v="2"/>
    <x v="6"/>
    <s v="Prime Copiers 109"/>
    <x v="1"/>
    <n v="8"/>
    <n v="2943.1"/>
    <n v="0.25"/>
    <n v="17658.599999999999"/>
    <n v="13842.48"/>
    <n v="3816.12"/>
    <x v="0"/>
    <x v="0"/>
    <s v="March"/>
    <s v="OK"/>
    <s v="OK"/>
    <n v="0.25"/>
    <n v="1"/>
    <n v="3816.119999999999"/>
    <n v="17658.599999999999"/>
    <n v="64"/>
    <s v="North"/>
    <s v="Clean"/>
    <s v="Same Day"/>
  </r>
  <r>
    <s v="Ord-2024-10431"/>
    <x v="314"/>
    <d v="2024-09-02T00:00:00"/>
    <s v="Cust-2732"/>
    <s v="Neha Gupta"/>
    <x v="1"/>
    <x v="0"/>
    <x v="16"/>
    <s v="Gurugram"/>
    <x v="0"/>
    <x v="0"/>
    <s v="Max Paper 576"/>
    <x v="0"/>
    <n v="1"/>
    <n v="4320.84"/>
    <n v="0.15"/>
    <n v="3672.71"/>
    <n v="2714.23"/>
    <n v="763.38"/>
    <x v="0"/>
    <x v="0"/>
    <s v="September"/>
    <s v="OK"/>
    <s v="OK"/>
    <n v="0.15"/>
    <n v="1"/>
    <n v="958.48399999999992"/>
    <n v="3672.7139999999999"/>
    <n v="3"/>
    <s v="North"/>
    <s v="Clean"/>
    <s v="Second Class"/>
  </r>
  <r>
    <s v="Ord-2024-10432"/>
    <x v="315"/>
    <d v="2024-02-13T00:00:00"/>
    <s v="Cust-3989"/>
    <s v="Karan Malhotra"/>
    <x v="3"/>
    <x v="3"/>
    <x v="14"/>
    <s v="Panaji"/>
    <x v="2"/>
    <x v="12"/>
    <s v="Max Machines 412"/>
    <x v="1"/>
    <n v="2"/>
    <n v="4118.45"/>
    <n v="0.25"/>
    <n v="6177.67"/>
    <n v="4520.75"/>
    <n v="1656.92"/>
    <x v="0"/>
    <x v="0"/>
    <s v="February"/>
    <s v="Invalid"/>
    <s v="OK"/>
    <n v="0.25"/>
    <n v="1"/>
    <n v="1656.9249999999993"/>
    <n v="6177.6749999999993"/>
    <n v="-232"/>
    <s v="West"/>
    <s v="ivalid"/>
    <s v="Same Day"/>
  </r>
  <r>
    <s v="Ord-2024-10433"/>
    <x v="301"/>
    <d v="2024-09-02T00:00:00"/>
    <s v="Cust-3522"/>
    <s v="Priya Menon"/>
    <x v="1"/>
    <x v="3"/>
    <x v="3"/>
    <s v="Mumbai"/>
    <x v="1"/>
    <x v="10"/>
    <s v="Classic Bookcases 291"/>
    <x v="3"/>
    <n v="6"/>
    <n v="172.82"/>
    <n v="0.05"/>
    <n v="985.07"/>
    <n v="844.48"/>
    <n v="140.59"/>
    <x v="0"/>
    <x v="0"/>
    <s v="September"/>
    <s v="OK"/>
    <s v="OK"/>
    <n v="0.05"/>
    <n v="1"/>
    <n v="140.59400000000005"/>
    <n v="985.07400000000007"/>
    <n v="4"/>
    <s v="West"/>
    <s v="Clean"/>
    <s v="Standard Class"/>
  </r>
  <r>
    <s v="Ord-2024-10434"/>
    <x v="316"/>
    <d v="2024-04-20T00:00:00"/>
    <s v="Cust-7066"/>
    <s v="Priya Menon"/>
    <x v="2"/>
    <x v="2"/>
    <x v="13"/>
    <s v="Kochi"/>
    <x v="0"/>
    <x v="2"/>
    <s v="Elite Art 946"/>
    <x v="0"/>
    <n v="4"/>
    <n v="1540.22"/>
    <n v="0"/>
    <n v="6160.88"/>
    <n v="4938.7"/>
    <n v="1222.18"/>
    <x v="1"/>
    <x v="2"/>
    <s v="April"/>
    <s v="OK"/>
    <s v="OK"/>
    <n v="0"/>
    <n v="1"/>
    <n v="1222.1800000000003"/>
    <n v="6160.88"/>
    <n v="1"/>
    <s v="South"/>
    <s v="Clean"/>
    <s v="Second Class"/>
  </r>
  <r>
    <s v="Ord-2025-10435"/>
    <x v="317"/>
    <d v="2025-04-15T00:00:00"/>
    <s v="Cust-2351"/>
    <s v="Mira Das"/>
    <x v="3"/>
    <x v="0"/>
    <x v="8"/>
    <s v="Noida"/>
    <x v="2"/>
    <x v="5"/>
    <s v="Eco Accessories 705"/>
    <x v="0"/>
    <n v="5"/>
    <n v="652.78"/>
    <n v="0"/>
    <n v="3263.9"/>
    <n v="2068.44"/>
    <n v="1195.46"/>
    <x v="0"/>
    <x v="0"/>
    <s v="April"/>
    <s v="Invalid"/>
    <s v="OK"/>
    <n v="0"/>
    <n v="1"/>
    <n v="1195.4599999999996"/>
    <n v="3263.8999999999996"/>
    <n v="-203"/>
    <s v="North"/>
    <s v="ivalid"/>
    <s v="Second Class"/>
  </r>
  <r>
    <s v="Ord-2025-10436"/>
    <x v="318"/>
    <d v="2025-04-20T00:00:00"/>
    <s v="Cust-7291"/>
    <s v="Kabir Singh"/>
    <x v="3"/>
    <x v="0"/>
    <x v="18"/>
    <s v="New Delhi"/>
    <x v="2"/>
    <x v="12"/>
    <s v="Max Machines 151"/>
    <x v="3"/>
    <n v="1"/>
    <n v="2737.71"/>
    <n v="0.15"/>
    <n v="2327.0500000000002"/>
    <n v="1919.42"/>
    <n v="407.63"/>
    <x v="0"/>
    <x v="1"/>
    <s v="April"/>
    <s v="Invalid"/>
    <s v="OK"/>
    <n v="0.15"/>
    <n v="1"/>
    <n v="407.63349999999991"/>
    <n v="2327.0535"/>
    <n v="-228"/>
    <s v="North"/>
    <s v="ivalid"/>
    <s v="Standard Class"/>
  </r>
  <r>
    <s v="Ord-2024-10437"/>
    <x v="319"/>
    <d v="2024-06-21T00:00:00"/>
    <s v="Cust-4492"/>
    <s v="Neha Gupta"/>
    <x v="0"/>
    <x v="2"/>
    <x v="13"/>
    <s v="Kochi"/>
    <x v="1"/>
    <x v="3"/>
    <s v="Max Furnishings 803"/>
    <x v="1"/>
    <n v="6"/>
    <n v="1156.78"/>
    <n v="0.05"/>
    <n v="6593.65"/>
    <n v="4359.3900000000003"/>
    <n v="2234.2600000000002"/>
    <x v="0"/>
    <x v="2"/>
    <s v="June"/>
    <s v="OK"/>
    <s v="OK"/>
    <n v="0.05"/>
    <n v="1"/>
    <n v="2234.2559999999994"/>
    <n v="6593.6459999999997"/>
    <n v="5"/>
    <s v="South"/>
    <s v="Clean"/>
    <s v="Same Day"/>
  </r>
  <r>
    <s v="Ord-2024-10438"/>
    <x v="107"/>
    <d v="2024-02-18T00:00:00"/>
    <s v="Cust-5029"/>
    <s v="Aditi Sen"/>
    <x v="1"/>
    <x v="2"/>
    <x v="13"/>
    <s v="Kochi"/>
    <x v="2"/>
    <x v="5"/>
    <s v="Max Accessories 423"/>
    <x v="1"/>
    <n v="8"/>
    <n v="379.82"/>
    <n v="0.05"/>
    <n v="2886.63"/>
    <n v="1588.23"/>
    <n v="1298.4000000000001"/>
    <x v="3"/>
    <x v="2"/>
    <s v="February"/>
    <s v="OK"/>
    <s v="OK"/>
    <n v="0.05"/>
    <n v="1"/>
    <n v="1298.4019999999996"/>
    <n v="2886.6319999999996"/>
    <n v="3"/>
    <s v="South"/>
    <s v="Clean"/>
    <s v="Same Day"/>
  </r>
  <r>
    <s v="Ord-2025-10439"/>
    <x v="320"/>
    <d v="2025-05-05T00:00:00"/>
    <s v="Cust-7252"/>
    <s v="Neha Gupta"/>
    <x v="2"/>
    <x v="1"/>
    <x v="15"/>
    <s v="Ranchi"/>
    <x v="2"/>
    <x v="11"/>
    <s v="Elite Phones 276"/>
    <x v="3"/>
    <n v="1"/>
    <n v="2266.4699999999998"/>
    <n v="0.2"/>
    <n v="1813.18"/>
    <n v="1363.64"/>
    <n v="449.54"/>
    <x v="0"/>
    <x v="0"/>
    <s v="May"/>
    <s v="Invalid"/>
    <s v="OK"/>
    <n v="0.2"/>
    <n v="1"/>
    <n v="449.53599999999983"/>
    <n v="1813.1759999999999"/>
    <n v="-61"/>
    <s v="East"/>
    <s v="ivalid"/>
    <s v="Standard Class"/>
  </r>
  <r>
    <s v="Ord-2025-10440"/>
    <x v="321"/>
    <d v="2025-07-03T00:00:00"/>
    <s v="Cust-7346"/>
    <s v="Aarav Sharma"/>
    <x v="3"/>
    <x v="3"/>
    <x v="14"/>
    <s v="Panaji"/>
    <x v="0"/>
    <x v="8"/>
    <s v="Smart Storage 287"/>
    <x v="1"/>
    <n v="5"/>
    <n v="665.25"/>
    <n v="0"/>
    <n v="3326.25"/>
    <n v="2689.36"/>
    <n v="636.89"/>
    <x v="1"/>
    <x v="2"/>
    <s v="July"/>
    <s v="OK"/>
    <s v="OK"/>
    <n v="0"/>
    <n v="1"/>
    <n v="636.88999999999987"/>
    <n v="3326.25"/>
    <n v="3"/>
    <s v="West"/>
    <s v="Clean"/>
    <s v="Same Day"/>
  </r>
  <r>
    <s v="Ord-2024-10441"/>
    <x v="157"/>
    <d v="2024-08-04T00:00:00"/>
    <s v="Cust-9039"/>
    <s v="Vikram Iyer"/>
    <x v="2"/>
    <x v="1"/>
    <x v="1"/>
    <s v="Bhubaneswar"/>
    <x v="2"/>
    <x v="12"/>
    <s v="Basic Machines 610"/>
    <x v="0"/>
    <n v="6"/>
    <n v="3722.84"/>
    <n v="0.2"/>
    <n v="17869.63"/>
    <n v="12163.8"/>
    <n v="5705.83"/>
    <x v="0"/>
    <x v="0"/>
    <s v="August"/>
    <s v="OK"/>
    <s v="OK"/>
    <n v="0.2"/>
    <n v="1"/>
    <n v="5705.8320000000022"/>
    <n v="17869.632000000001"/>
    <n v="182"/>
    <s v="East"/>
    <s v="Clean"/>
    <s v="Second Class"/>
  </r>
  <r>
    <s v="Ord-2024-10442"/>
    <x v="322"/>
    <d v="2024-10-03T00:00:00"/>
    <s v="Cust-3975"/>
    <s v="Karan Malhotra"/>
    <x v="0"/>
    <x v="1"/>
    <x v="9"/>
    <s v="Patna"/>
    <x v="1"/>
    <x v="10"/>
    <s v="Elite Bookcases 393"/>
    <x v="3"/>
    <n v="6"/>
    <n v="4217.49"/>
    <n v="0"/>
    <n v="25304.94"/>
    <n v="20771.95"/>
    <n v="4532.99"/>
    <x v="0"/>
    <x v="1"/>
    <s v="October"/>
    <s v="Invalid"/>
    <s v="OK"/>
    <n v="0"/>
    <n v="1"/>
    <n v="4532.989999999998"/>
    <n v="25304.94"/>
    <n v="0"/>
    <s v="East"/>
    <s v="Clean"/>
    <s v="Standard Class"/>
  </r>
  <r>
    <s v="Ord-2025-10443"/>
    <x v="323"/>
    <d v="2025-01-19T00:00:00"/>
    <s v="Cust-6588"/>
    <s v="Aarav Sharma"/>
    <x v="0"/>
    <x v="1"/>
    <x v="15"/>
    <s v="Ranchi"/>
    <x v="1"/>
    <x v="1"/>
    <s v="Prime Tables 242"/>
    <x v="2"/>
    <n v="1"/>
    <n v="1842.31"/>
    <n v="0"/>
    <n v="1842.31"/>
    <n v="1019.17"/>
    <n v="823.14"/>
    <x v="0"/>
    <x v="0"/>
    <s v="January"/>
    <s v="Invalid"/>
    <s v="OK"/>
    <n v="0"/>
    <n v="1"/>
    <n v="823.14"/>
    <n v="1842.31"/>
    <n v="-316"/>
    <s v="East"/>
    <s v="ivalid"/>
    <s v="First Class"/>
  </r>
  <r>
    <s v="Ord-2024-10444"/>
    <x v="324"/>
    <d v="2024-04-07T00:00:00"/>
    <s v="Cust-2207"/>
    <s v="Rohan Mehta"/>
    <x v="3"/>
    <x v="1"/>
    <x v="1"/>
    <s v="Bhubaneswar"/>
    <x v="1"/>
    <x v="3"/>
    <s v="Basic Furnishings 563"/>
    <x v="2"/>
    <n v="1"/>
    <n v="3683.75"/>
    <n v="0.1"/>
    <n v="3315.38"/>
    <n v="2347.6799999999998"/>
    <n v="967.7"/>
    <x v="0"/>
    <x v="0"/>
    <s v="April"/>
    <s v="OK"/>
    <s v="OK"/>
    <n v="0.1"/>
    <n v="1"/>
    <n v="967.69500000000016"/>
    <n v="3315.375"/>
    <n v="3"/>
    <s v="East"/>
    <s v="Clean"/>
    <s v="First Class"/>
  </r>
  <r>
    <s v="Ord-2025-10445"/>
    <x v="325"/>
    <d v="2025-08-16T00:00:00"/>
    <s v="Cust-4475"/>
    <s v="Ananya Rao"/>
    <x v="0"/>
    <x v="1"/>
    <x v="10"/>
    <s v="Guwahati"/>
    <x v="2"/>
    <x v="5"/>
    <s v="Prime Accessories 482"/>
    <x v="1"/>
    <n v="9"/>
    <n v="2379.2399999999998"/>
    <n v="0.05"/>
    <n v="20342.5"/>
    <n v="12407.51"/>
    <n v="7934.99"/>
    <x v="0"/>
    <x v="0"/>
    <s v="August"/>
    <s v="Invalid"/>
    <s v="OK"/>
    <n v="0.05"/>
    <n v="1"/>
    <n v="7934.9919999999966"/>
    <n v="20342.501999999997"/>
    <n v="-114"/>
    <s v="East"/>
    <s v="ivalid"/>
    <s v="Same Day"/>
  </r>
  <r>
    <s v="Ord-2024-10446"/>
    <x v="326"/>
    <d v="2024-05-05T00:00:00"/>
    <s v="Cust-1351"/>
    <s v="Arjun Bose"/>
    <x v="0"/>
    <x v="1"/>
    <x v="10"/>
    <s v="Guwahati"/>
    <x v="1"/>
    <x v="10"/>
    <s v="Eco Bookcases 215"/>
    <x v="1"/>
    <n v="2"/>
    <n v="2111.23"/>
    <n v="0.2"/>
    <n v="3377.97"/>
    <n v="2496.29"/>
    <n v="881.68"/>
    <x v="0"/>
    <x v="0"/>
    <s v="May"/>
    <s v="Invalid"/>
    <s v="OK"/>
    <n v="0.2"/>
    <n v="1"/>
    <n v="881.67800000000034"/>
    <n v="3377.9680000000003"/>
    <n v="-123"/>
    <s v="East"/>
    <s v="ivalid"/>
    <s v="Same Day"/>
  </r>
  <r>
    <s v="Ord-2025-10447"/>
    <x v="327"/>
    <d v="2025-09-19T00:00:00"/>
    <s v="Cust-9295"/>
    <s v="Sneha Kapoor"/>
    <x v="3"/>
    <x v="2"/>
    <x v="5"/>
    <s v="Vijayawada"/>
    <x v="0"/>
    <x v="8"/>
    <s v="Eco Storage 793"/>
    <x v="1"/>
    <n v="8"/>
    <n v="4242.51"/>
    <n v="0"/>
    <n v="33940.080000000002"/>
    <n v="23754.19"/>
    <n v="10185.89"/>
    <x v="0"/>
    <x v="0"/>
    <s v="September"/>
    <s v="OK"/>
    <s v="OK"/>
    <n v="0"/>
    <n v="1"/>
    <n v="10185.890000000003"/>
    <n v="33940.080000000002"/>
    <n v="1"/>
    <s v="South"/>
    <s v="Clean"/>
    <s v="Same Day"/>
  </r>
  <r>
    <s v="Ord-2025-10448"/>
    <x v="286"/>
    <d v="2025-08-10T00:00:00"/>
    <s v="Cust-3614"/>
    <s v="Rohan Mehta"/>
    <x v="3"/>
    <x v="2"/>
    <x v="2"/>
    <s v="Hyderabad"/>
    <x v="1"/>
    <x v="10"/>
    <s v="Basic Bookcases 182"/>
    <x v="3"/>
    <n v="6"/>
    <n v="4288.7"/>
    <n v="0.15"/>
    <n v="21872.37"/>
    <n v="13829.5"/>
    <n v="8042.87"/>
    <x v="2"/>
    <x v="2"/>
    <s v="August"/>
    <s v="Invalid"/>
    <s v="OK"/>
    <n v="0.15"/>
    <n v="1"/>
    <n v="8042.8699999999953"/>
    <n v="21872.369999999995"/>
    <n v="0"/>
    <s v="South"/>
    <s v="Clean"/>
    <s v="Standard Class"/>
  </r>
  <r>
    <s v="Ord-2024-10449"/>
    <x v="328"/>
    <d v="2024-01-18T00:00:00"/>
    <s v="Cust-1932"/>
    <s v="Mira Das"/>
    <x v="1"/>
    <x v="2"/>
    <x v="5"/>
    <s v="Vijayawada"/>
    <x v="1"/>
    <x v="4"/>
    <s v="Prime Chairs 631"/>
    <x v="2"/>
    <n v="2"/>
    <n v="201.21"/>
    <n v="0.15"/>
    <n v="342.06"/>
    <n v="244.57"/>
    <n v="97.49"/>
    <x v="0"/>
    <x v="0"/>
    <s v="January"/>
    <s v="OK"/>
    <s v="OK"/>
    <n v="0.15"/>
    <n v="1"/>
    <n v="97.487000000000023"/>
    <n v="342.05700000000002"/>
    <n v="3"/>
    <s v="South"/>
    <s v="Clean"/>
    <s v="First Class"/>
  </r>
  <r>
    <s v="Ord-2024-10450"/>
    <x v="291"/>
    <d v="2024-06-13T00:00:00"/>
    <s v="Cust-5094"/>
    <s v="Aditi Sen"/>
    <x v="2"/>
    <x v="1"/>
    <x v="10"/>
    <s v="Guwahati"/>
    <x v="2"/>
    <x v="12"/>
    <s v="Basic Machines 808"/>
    <x v="0"/>
    <n v="6"/>
    <n v="3270.36"/>
    <n v="0"/>
    <n v="19622.16"/>
    <n v="14271.27"/>
    <n v="5350.89"/>
    <x v="0"/>
    <x v="0"/>
    <s v="June"/>
    <s v="OK"/>
    <s v="OK"/>
    <n v="0"/>
    <n v="1"/>
    <n v="5350.8899999999994"/>
    <n v="19622.16"/>
    <n v="7"/>
    <s v="East"/>
    <s v="Clean"/>
    <s v="Second Class"/>
  </r>
  <r>
    <s v="Ord-2025-10451"/>
    <x v="329"/>
    <d v="2025-06-19T00:00:00"/>
    <s v="Cust-8672"/>
    <s v="Ananya Rao"/>
    <x v="2"/>
    <x v="0"/>
    <x v="18"/>
    <s v="New Delhi"/>
    <x v="1"/>
    <x v="4"/>
    <s v="Pro Chairs 302"/>
    <x v="3"/>
    <n v="9"/>
    <n v="2278.5700000000002"/>
    <n v="0.25"/>
    <n v="15380.35"/>
    <n v="9907.3700000000008"/>
    <n v="5472.98"/>
    <x v="0"/>
    <x v="0"/>
    <s v="June"/>
    <s v="Invalid"/>
    <s v="OK"/>
    <n v="0.25"/>
    <n v="1"/>
    <n v="5472.9774999999991"/>
    <n v="15380.3475"/>
    <n v="-170"/>
    <s v="North"/>
    <s v="ivalid"/>
    <s v="Standard Class"/>
  </r>
  <r>
    <s v="Ord-2024-10452"/>
    <x v="82"/>
    <d v="2024-03-26T00:00:00"/>
    <s v="Cust-3907"/>
    <s v="Rohan Mehta"/>
    <x v="1"/>
    <x v="0"/>
    <x v="16"/>
    <s v="Gurugram"/>
    <x v="0"/>
    <x v="0"/>
    <s v="Classic Paper 272"/>
    <x v="0"/>
    <n v="8"/>
    <n v="1917.64"/>
    <n v="0.15"/>
    <n v="13039.95"/>
    <n v="11127.82"/>
    <n v="1912.13"/>
    <x v="0"/>
    <x v="1"/>
    <s v="March"/>
    <s v="OK"/>
    <s v="OK"/>
    <n v="0.15"/>
    <n v="1"/>
    <n v="1912.1320000000014"/>
    <n v="13039.952000000001"/>
    <n v="2"/>
    <s v="North"/>
    <s v="Clean"/>
    <s v="Second Class"/>
  </r>
  <r>
    <s v="Ord-2024-10453"/>
    <x v="330"/>
    <d v="2024-05-16T00:00:00"/>
    <s v="Cust-8796"/>
    <s v="Diya Patel"/>
    <x v="3"/>
    <x v="1"/>
    <x v="15"/>
    <s v="Ranchi"/>
    <x v="2"/>
    <x v="5"/>
    <s v="Smart Accessories 149"/>
    <x v="0"/>
    <n v="6"/>
    <n v="2013.33"/>
    <n v="0.2"/>
    <n v="9663.98"/>
    <n v="5628.93"/>
    <n v="4035.05"/>
    <x v="0"/>
    <x v="0"/>
    <s v="May"/>
    <s v="OK"/>
    <s v="OK"/>
    <n v="0.2"/>
    <n v="1"/>
    <n v="4035.0540000000001"/>
    <n v="9663.9840000000004"/>
    <n v="6"/>
    <s v="East"/>
    <s v="Clean"/>
    <s v="Second Class"/>
  </r>
  <r>
    <s v="Ord-2025-10454"/>
    <x v="222"/>
    <d v="2025-05-11T00:00:00"/>
    <s v="Cust-2317"/>
    <s v="Rohan Mehta"/>
    <x v="1"/>
    <x v="3"/>
    <x v="4"/>
    <s v="Indore"/>
    <x v="0"/>
    <x v="7"/>
    <s v="Elite Labels 322"/>
    <x v="1"/>
    <n v="5"/>
    <n v="1483.52"/>
    <n v="0"/>
    <n v="7417.6"/>
    <n v="4955.8599999999997"/>
    <n v="2461.7399999999998"/>
    <x v="0"/>
    <x v="0"/>
    <s v="May"/>
    <s v="OK"/>
    <s v="OK"/>
    <n v="0"/>
    <n v="1"/>
    <n v="2461.7400000000007"/>
    <n v="7417.6"/>
    <n v="67"/>
    <s v="West"/>
    <s v="Clean"/>
    <s v="Same Day"/>
  </r>
  <r>
    <s v="Ord-2025-10455"/>
    <x v="331"/>
    <d v="2025-03-28T00:00:00"/>
    <s v="Cust-8643"/>
    <s v="Vikram Iyer"/>
    <x v="1"/>
    <x v="0"/>
    <x v="0"/>
    <s v="Jaipur"/>
    <x v="1"/>
    <x v="3"/>
    <s v="Max Furnishings 821"/>
    <x v="3"/>
    <n v="9"/>
    <n v="3298"/>
    <n v="0.15"/>
    <n v="25229.7"/>
    <n v="20170.43"/>
    <n v="5059.2700000000004"/>
    <x v="0"/>
    <x v="0"/>
    <s v="March"/>
    <s v="OK"/>
    <s v="OK"/>
    <n v="0.15"/>
    <n v="1"/>
    <n v="5059.2700000000004"/>
    <n v="25229.7"/>
    <n v="5"/>
    <s v="North"/>
    <s v="Clean"/>
    <s v="Standard Class"/>
  </r>
  <r>
    <s v="Ord-2024-10456"/>
    <x v="332"/>
    <d v="2024-07-22T00:00:00"/>
    <s v="Cust-1800"/>
    <s v="Neha Gupta"/>
    <x v="1"/>
    <x v="2"/>
    <x v="2"/>
    <s v="Hyderabad"/>
    <x v="0"/>
    <x v="2"/>
    <s v="Basic Art 556"/>
    <x v="3"/>
    <n v="4"/>
    <n v="808.77"/>
    <n v="0"/>
    <n v="3235.08"/>
    <n v="1848.6"/>
    <n v="1386.48"/>
    <x v="0"/>
    <x v="0"/>
    <s v="July"/>
    <s v="OK"/>
    <s v="OK"/>
    <n v="0"/>
    <n v="1"/>
    <n v="1386.48"/>
    <n v="3235.08"/>
    <n v="4"/>
    <s v="South"/>
    <s v="Clean"/>
    <s v="Standard Class"/>
  </r>
  <r>
    <s v="Ord-2024-10457"/>
    <x v="97"/>
    <d v="2024-02-20T00:00:00"/>
    <s v="Cust-7688"/>
    <s v="Neha Gupta"/>
    <x v="2"/>
    <x v="0"/>
    <x v="8"/>
    <s v="Noida"/>
    <x v="2"/>
    <x v="5"/>
    <s v="Smart Accessories 265"/>
    <x v="1"/>
    <n v="5"/>
    <n v="2604.91"/>
    <n v="0.15"/>
    <n v="11070.87"/>
    <n v="6623.61"/>
    <n v="4447.26"/>
    <x v="0"/>
    <x v="2"/>
    <s v="February"/>
    <s v="Invalid"/>
    <s v="OK"/>
    <n v="0.15"/>
    <n v="1"/>
    <n v="4447.2574999999988"/>
    <n v="11070.867499999998"/>
    <n v="0"/>
    <s v="North"/>
    <s v="Clean"/>
    <s v="Same Day"/>
  </r>
  <r>
    <s v="Ord-2024-10458"/>
    <x v="205"/>
    <d v="2024-05-04T00:00:00"/>
    <s v="Cust-4957"/>
    <s v="Mira Das"/>
    <x v="1"/>
    <x v="3"/>
    <x v="14"/>
    <s v="Panaji"/>
    <x v="1"/>
    <x v="1"/>
    <s v="Elite Tables 418"/>
    <x v="3"/>
    <n v="7"/>
    <n v="2851.51"/>
    <n v="0"/>
    <n v="19960.57"/>
    <n v="16603.599999999999"/>
    <n v="3356.97"/>
    <x v="0"/>
    <x v="0"/>
    <s v="May"/>
    <s v="OK"/>
    <s v="OK"/>
    <n v="0"/>
    <n v="1"/>
    <n v="3356.9700000000012"/>
    <n v="19960.57"/>
    <n v="29"/>
    <s v="West"/>
    <s v="Clean"/>
    <s v="Standard Class"/>
  </r>
  <r>
    <s v="Ord-2024-10459"/>
    <x v="315"/>
    <d v="2024-11-02T00:00:00"/>
    <s v="Cust-1263"/>
    <s v="Karan Malhotra"/>
    <x v="2"/>
    <x v="0"/>
    <x v="0"/>
    <s v="Jaipur"/>
    <x v="2"/>
    <x v="11"/>
    <s v="Pro Phones 907"/>
    <x v="0"/>
    <n v="3"/>
    <n v="3183.72"/>
    <n v="0.1"/>
    <n v="8596.0400000000009"/>
    <n v="5378.16"/>
    <n v="3217.88"/>
    <x v="0"/>
    <x v="0"/>
    <s v="November"/>
    <s v="OK"/>
    <s v="OK"/>
    <n v="0.1"/>
    <n v="1"/>
    <n v="3217.884"/>
    <n v="8596.0439999999999"/>
    <n v="31"/>
    <s v="North"/>
    <s v="Clean"/>
    <s v="Second Class"/>
  </r>
  <r>
    <s v="Ord-2024-10460"/>
    <x v="171"/>
    <d v="2024-04-04T00:00:00"/>
    <s v="Cust-4745"/>
    <s v="Ananya Rao"/>
    <x v="3"/>
    <x v="3"/>
    <x v="14"/>
    <s v="Panaji"/>
    <x v="0"/>
    <x v="0"/>
    <s v="Basic Paper 233"/>
    <x v="2"/>
    <n v="3"/>
    <n v="1150.92"/>
    <n v="0"/>
    <n v="3452.76"/>
    <n v="2077.96"/>
    <n v="1374.8"/>
    <x v="0"/>
    <x v="0"/>
    <s v="April"/>
    <s v="OK"/>
    <s v="OK"/>
    <n v="0"/>
    <n v="1"/>
    <n v="1374.8000000000002"/>
    <n v="3452.76"/>
    <n v="7"/>
    <s v="West"/>
    <s v="Clean"/>
    <s v="First Class"/>
  </r>
  <r>
    <s v="Ord-2025-10461"/>
    <x v="333"/>
    <d v="2025-10-06T00:00:00"/>
    <s v="Cust-5551"/>
    <s v="Aarav Sharma"/>
    <x v="2"/>
    <x v="4"/>
    <x v="0"/>
    <s v="Jaipur"/>
    <x v="2"/>
    <x v="6"/>
    <s v="Eco Copiers 603"/>
    <x v="0"/>
    <n v="9"/>
    <n v="1359.88"/>
    <n v="0.05"/>
    <n v="11626.97"/>
    <n v="7394.07"/>
    <n v="4232.8999999999996"/>
    <x v="0"/>
    <x v="0"/>
    <s v="October"/>
    <s v="OK"/>
    <s v="OK"/>
    <n v="0.05"/>
    <n v="1"/>
    <n v="4232.9040000000023"/>
    <n v="11626.974000000002"/>
    <n v="6"/>
    <s v="Unknown"/>
    <s v="Clean"/>
    <s v="Second Class"/>
  </r>
  <r>
    <s v="Ord-2025-10462"/>
    <x v="334"/>
    <d v="2025-05-26T00:00:00"/>
    <s v="Cust-3659"/>
    <s v="Neha Gupta"/>
    <x v="2"/>
    <x v="2"/>
    <x v="5"/>
    <s v="Vijayawada"/>
    <x v="0"/>
    <x v="0"/>
    <s v="Max Paper 700"/>
    <x v="3"/>
    <n v="3"/>
    <n v="3378.15"/>
    <n v="0.15"/>
    <n v="8614.2800000000007"/>
    <n v="7052.08"/>
    <n v="1562.2"/>
    <x v="0"/>
    <x v="0"/>
    <s v="May"/>
    <s v="OK"/>
    <s v="OK"/>
    <n v="0.15"/>
    <n v="1"/>
    <n v="1562.2025000000012"/>
    <n v="8614.2825000000012"/>
    <n v="1"/>
    <s v="South"/>
    <s v="Clean"/>
    <s v="Standard Class"/>
  </r>
  <r>
    <s v="Ord-2024-10463"/>
    <x v="298"/>
    <d v="2024-09-25T00:00:00"/>
    <s v="Cust-6594"/>
    <s v="Aarav Sharma"/>
    <x v="3"/>
    <x v="0"/>
    <x v="18"/>
    <s v="New Delhi"/>
    <x v="0"/>
    <x v="9"/>
    <s v="Pro Binders 404"/>
    <x v="2"/>
    <n v="2"/>
    <n v="1275.1400000000001"/>
    <n v="0.2"/>
    <n v="2040.22"/>
    <n v="1395.71"/>
    <n v="644.51"/>
    <x v="0"/>
    <x v="0"/>
    <s v="September"/>
    <s v="OK"/>
    <s v="OK"/>
    <n v="0.2"/>
    <n v="1"/>
    <n v="644.51400000000012"/>
    <n v="2040.2240000000002"/>
    <n v="2"/>
    <s v="North"/>
    <s v="Clean"/>
    <s v="First Class"/>
  </r>
  <r>
    <s v="Ord-2025-10464"/>
    <x v="335"/>
    <d v="2025-02-08T00:00:00"/>
    <s v="Cust-2626"/>
    <s v="Arjun Bose"/>
    <x v="2"/>
    <x v="3"/>
    <x v="4"/>
    <s v="Indore"/>
    <x v="2"/>
    <x v="11"/>
    <s v="Eco Phones 208"/>
    <x v="3"/>
    <n v="4"/>
    <n v="889.5"/>
    <n v="0.2"/>
    <n v="2846.4"/>
    <n v="2132.37"/>
    <n v="714.03"/>
    <x v="0"/>
    <x v="0"/>
    <s v="February"/>
    <s v="OK"/>
    <s v="OK"/>
    <n v="0.2"/>
    <n v="1"/>
    <n v="714.0300000000002"/>
    <n v="2846.4"/>
    <n v="1"/>
    <s v="West"/>
    <s v="Clean"/>
    <s v="Standard Class"/>
  </r>
  <r>
    <s v="Ord-2025-10465"/>
    <x v="336"/>
    <d v="2025-03-15T00:00:00"/>
    <s v="Cust-7362"/>
    <s v="Arjun Bose"/>
    <x v="2"/>
    <x v="1"/>
    <x v="9"/>
    <s v="Patna"/>
    <x v="0"/>
    <x v="0"/>
    <s v="Elite Paper 106"/>
    <x v="1"/>
    <n v="3"/>
    <n v="3625.08"/>
    <n v="0.05"/>
    <n v="10331.48"/>
    <n v="7131.91"/>
    <n v="3199.57"/>
    <x v="2"/>
    <x v="1"/>
    <s v="March"/>
    <s v="OK"/>
    <s v="OK"/>
    <n v="0.05"/>
    <n v="1"/>
    <n v="3199.5679999999993"/>
    <n v="10331.477999999999"/>
    <n v="4"/>
    <s v="East"/>
    <s v="Clean"/>
    <s v="Same Day"/>
  </r>
  <r>
    <s v="Ord-2024-10466"/>
    <x v="337"/>
    <d v="2024-02-06T00:00:00"/>
    <s v="Cust-1748"/>
    <s v="Aarav Sharma"/>
    <x v="1"/>
    <x v="3"/>
    <x v="4"/>
    <s v="Indore"/>
    <x v="0"/>
    <x v="7"/>
    <s v="Eco Labels 914"/>
    <x v="3"/>
    <n v="2"/>
    <n v="1258.9000000000001"/>
    <n v="0"/>
    <n v="2517.8000000000002"/>
    <n v="1478.54"/>
    <n v="1039.26"/>
    <x v="0"/>
    <x v="0"/>
    <s v="February"/>
    <s v="OK"/>
    <s v="OK"/>
    <n v="0"/>
    <n v="1"/>
    <n v="1039.2600000000002"/>
    <n v="2517.8000000000002"/>
    <n v="8"/>
    <s v="West"/>
    <s v="Clean"/>
    <s v="Standard Class"/>
  </r>
  <r>
    <s v="Ord-2024-10467"/>
    <x v="338"/>
    <d v="2024-08-01T00:00:00"/>
    <s v="Cust-2725"/>
    <s v="Mira Das"/>
    <x v="1"/>
    <x v="1"/>
    <x v="9"/>
    <s v="Patna"/>
    <x v="2"/>
    <x v="5"/>
    <s v="Max Accessories 486"/>
    <x v="1"/>
    <n v="9"/>
    <n v="1591.96"/>
    <n v="0.2"/>
    <n v="11462.11"/>
    <n v="7105.48"/>
    <n v="4356.63"/>
    <x v="0"/>
    <x v="0"/>
    <s v="August"/>
    <s v="OK"/>
    <s v="OK"/>
    <n v="0.2"/>
    <n v="1"/>
    <n v="4356.6320000000014"/>
    <n v="11462.112000000001"/>
    <n v="210"/>
    <s v="East"/>
    <s v="Clean"/>
    <s v="Same Day"/>
  </r>
  <r>
    <s v="Ord-2024-10468"/>
    <x v="339"/>
    <d v="2024-08-21T00:00:00"/>
    <s v="Cust-9470"/>
    <s v="Aditi Sen"/>
    <x v="2"/>
    <x v="1"/>
    <x v="1"/>
    <s v="Bhubaneswar"/>
    <x v="2"/>
    <x v="6"/>
    <s v="Max Copiers 867"/>
    <x v="2"/>
    <n v="5"/>
    <n v="4288.33"/>
    <n v="0.1"/>
    <n v="19297.490000000002"/>
    <n v="15451.66"/>
    <n v="3845.83"/>
    <x v="1"/>
    <x v="1"/>
    <s v="August"/>
    <s v="OK"/>
    <s v="OK"/>
    <n v="0.1"/>
    <n v="1"/>
    <n v="3845.8250000000007"/>
    <n v="19297.485000000001"/>
    <n v="1"/>
    <s v="East"/>
    <s v="Clean"/>
    <s v="First Class"/>
  </r>
  <r>
    <s v="Ord-2025-10469"/>
    <x v="118"/>
    <d v="2025-01-07T00:00:00"/>
    <s v="Cust-4176"/>
    <s v="Aarav Sharma"/>
    <x v="3"/>
    <x v="1"/>
    <x v="6"/>
    <s v="Kolkata"/>
    <x v="0"/>
    <x v="9"/>
    <s v="Pro Binders 555"/>
    <x v="0"/>
    <n v="3"/>
    <n v="2188.33"/>
    <n v="0"/>
    <n v="6564.99"/>
    <n v="5407.24"/>
    <n v="1157.75"/>
    <x v="0"/>
    <x v="0"/>
    <s v="January"/>
    <s v="Invalid"/>
    <s v="OK"/>
    <n v="0"/>
    <n v="1"/>
    <n v="1157.75"/>
    <n v="6564.99"/>
    <n v="-237"/>
    <s v="East"/>
    <s v="ivalid"/>
    <s v="Second Class"/>
  </r>
  <r>
    <s v="Ord-2024-10470"/>
    <x v="340"/>
    <d v="2024-01-25T00:00:00"/>
    <s v="Cust-3448"/>
    <s v="Aditi Sen"/>
    <x v="2"/>
    <x v="3"/>
    <x v="14"/>
    <s v="Panaji"/>
    <x v="2"/>
    <x v="6"/>
    <s v="Pro Copiers 971"/>
    <x v="2"/>
    <n v="3"/>
    <n v="1041.6600000000001"/>
    <n v="0.1"/>
    <n v="2812.48"/>
    <n v="2282.12"/>
    <n v="530.36"/>
    <x v="0"/>
    <x v="0"/>
    <s v="January"/>
    <s v="OK"/>
    <s v="OK"/>
    <n v="0.1"/>
    <n v="1"/>
    <n v="530.36200000000053"/>
    <n v="2812.4820000000004"/>
    <n v="6"/>
    <s v="West"/>
    <s v="Clean"/>
    <s v="First Class"/>
  </r>
  <r>
    <s v="Ord-2024-10471"/>
    <x v="341"/>
    <d v="2024-07-31T00:00:00"/>
    <s v="Cust-4970"/>
    <s v="Aditi Sen"/>
    <x v="0"/>
    <x v="0"/>
    <x v="0"/>
    <s v="Jaipur"/>
    <x v="1"/>
    <x v="1"/>
    <s v="Pro Tables 833"/>
    <x v="1"/>
    <n v="2"/>
    <n v="4424.78"/>
    <n v="0.2"/>
    <n v="7079.65"/>
    <n v="4465.91"/>
    <n v="2613.7399999999998"/>
    <x v="0"/>
    <x v="0"/>
    <s v="July"/>
    <s v="OK"/>
    <s v="OK"/>
    <n v="0.2"/>
    <n v="1"/>
    <n v="2613.7380000000003"/>
    <n v="7079.6480000000001"/>
    <n v="3"/>
    <s v="North"/>
    <s v="Clean"/>
    <s v="Same Day"/>
  </r>
  <r>
    <s v="Ord-2024-10472"/>
    <x v="198"/>
    <d v="2024-02-15T00:00:00"/>
    <s v="Cust-6147"/>
    <s v="Kabir Singh"/>
    <x v="0"/>
    <x v="2"/>
    <x v="2"/>
    <s v="Hyderabad"/>
    <x v="0"/>
    <x v="9"/>
    <s v="Prime Binders 497"/>
    <x v="3"/>
    <n v="3"/>
    <n v="3019.14"/>
    <n v="0.25"/>
    <n v="6793.07"/>
    <n v="4985.22"/>
    <n v="1807.85"/>
    <x v="0"/>
    <x v="0"/>
    <s v="February"/>
    <s v="OK"/>
    <s v="OK"/>
    <n v="0.25"/>
    <n v="1"/>
    <n v="1807.8450000000003"/>
    <n v="6793.0650000000005"/>
    <n v="4"/>
    <s v="South"/>
    <s v="Clean"/>
    <s v="Standard Class"/>
  </r>
  <r>
    <s v="Ord-2024-10473"/>
    <x v="342"/>
    <d v="2024-07-03T00:00:00"/>
    <s v="Cust-7208"/>
    <s v="Rohan Mehta"/>
    <x v="2"/>
    <x v="1"/>
    <x v="1"/>
    <s v="Bhubaneswar"/>
    <x v="0"/>
    <x v="8"/>
    <s v="Pro Storage 756"/>
    <x v="3"/>
    <n v="7"/>
    <n v="263.45999999999998"/>
    <n v="0"/>
    <n v="1844.22"/>
    <n v="1094.21"/>
    <n v="750.01"/>
    <x v="0"/>
    <x v="0"/>
    <s v="July"/>
    <s v="OK"/>
    <s v="OK"/>
    <n v="0"/>
    <n v="1"/>
    <n v="750.00999999999976"/>
    <n v="1844.2199999999998"/>
    <n v="123"/>
    <s v="East"/>
    <s v="Clean"/>
    <s v="Standard Class"/>
  </r>
  <r>
    <s v="Ord-2024-10474"/>
    <x v="343"/>
    <d v="2024-11-13T00:00:00"/>
    <s v="Cust-2794"/>
    <s v="Priya Menon"/>
    <x v="0"/>
    <x v="3"/>
    <x v="14"/>
    <s v="Panaji"/>
    <x v="2"/>
    <x v="6"/>
    <s v="Max Copiers 829"/>
    <x v="3"/>
    <n v="6"/>
    <n v="191.45"/>
    <n v="0.2"/>
    <n v="918.96"/>
    <n v="554.17999999999995"/>
    <n v="364.78"/>
    <x v="0"/>
    <x v="0"/>
    <s v="November"/>
    <s v="Invalid"/>
    <s v="OK"/>
    <n v="0.2"/>
    <n v="1"/>
    <n v="364.78"/>
    <n v="918.95999999999992"/>
    <n v="0"/>
    <s v="West"/>
    <s v="Clean"/>
    <s v="Standard Class"/>
  </r>
  <r>
    <s v="Ord-2024-10475"/>
    <x v="242"/>
    <d v="2024-06-10T00:00:00"/>
    <s v="Cust-6249"/>
    <s v="Diya Patel"/>
    <x v="2"/>
    <x v="0"/>
    <x v="7"/>
    <s v="Ludhiana"/>
    <x v="1"/>
    <x v="3"/>
    <s v="Prime Furnishings 827"/>
    <x v="3"/>
    <n v="3"/>
    <n v="1633.57"/>
    <n v="0"/>
    <n v="4900.71"/>
    <n v="2713.9"/>
    <n v="2186.81"/>
    <x v="0"/>
    <x v="0"/>
    <s v="June"/>
    <s v="OK"/>
    <s v="OK"/>
    <n v="0"/>
    <n v="1"/>
    <n v="2186.81"/>
    <n v="4900.71"/>
    <n v="7"/>
    <s v="North"/>
    <s v="Clean"/>
    <s v="Standard Class"/>
  </r>
  <r>
    <s v="Ord-2025-10476"/>
    <x v="313"/>
    <d v="2025-03-08T00:00:00"/>
    <s v="Cust-5712"/>
    <s v="Vikram Iyer"/>
    <x v="0"/>
    <x v="1"/>
    <x v="6"/>
    <s v="Kolkata"/>
    <x v="1"/>
    <x v="4"/>
    <s v="Eco Chairs 365"/>
    <x v="1"/>
    <n v="8"/>
    <n v="3378.82"/>
    <n v="0.25"/>
    <n v="20272.919999999998"/>
    <n v="15873.38"/>
    <n v="4399.54"/>
    <x v="2"/>
    <x v="2"/>
    <s v="March"/>
    <s v="OK"/>
    <s v="OK"/>
    <n v="0.25"/>
    <n v="1"/>
    <n v="4399.5400000000027"/>
    <n v="20272.920000000002"/>
    <n v="64"/>
    <s v="East"/>
    <s v="Clean"/>
    <s v="Same Day"/>
  </r>
  <r>
    <s v="Ord-2024-10477"/>
    <x v="344"/>
    <d v="2024-05-14T00:00:00"/>
    <s v="Cust-3004"/>
    <s v="Sneha Kapoor"/>
    <x v="1"/>
    <x v="0"/>
    <x v="0"/>
    <s v="Jaipur"/>
    <x v="0"/>
    <x v="8"/>
    <s v="Classic Storage 545"/>
    <x v="2"/>
    <n v="3"/>
    <n v="383.58"/>
    <n v="0.1"/>
    <n v="1035.67"/>
    <n v="595.41999999999996"/>
    <n v="440.25"/>
    <x v="0"/>
    <x v="0"/>
    <s v="May"/>
    <s v="Invalid"/>
    <s v="OK"/>
    <n v="0.1"/>
    <n v="1"/>
    <n v="440.24599999999998"/>
    <n v="1035.6659999999999"/>
    <n v="-52"/>
    <s v="North"/>
    <s v="ivalid"/>
    <s v="First Class"/>
  </r>
  <r>
    <s v="Ord-2025-10478"/>
    <x v="100"/>
    <d v="2025-08-28T00:00:00"/>
    <s v="Cust-6920"/>
    <s v="Vikram Iyer"/>
    <x v="2"/>
    <x v="3"/>
    <x v="12"/>
    <s v="Ahmedabad"/>
    <x v="1"/>
    <x v="4"/>
    <s v="Pro Chairs 186"/>
    <x v="3"/>
    <n v="6"/>
    <n v="2193.23"/>
    <n v="0.1"/>
    <n v="11843.44"/>
    <n v="9356.8799999999992"/>
    <n v="2486.56"/>
    <x v="0"/>
    <x v="1"/>
    <s v="August"/>
    <s v="OK"/>
    <s v="OK"/>
    <n v="0.1"/>
    <n v="1"/>
    <n v="2486.5620000000017"/>
    <n v="11843.442000000001"/>
    <n v="5"/>
    <s v="West"/>
    <s v="Clean"/>
    <s v="Standard Class"/>
  </r>
  <r>
    <s v="Ord-2024-10479"/>
    <x v="345"/>
    <d v="2024-06-13T00:00:00"/>
    <s v="Cust-4838"/>
    <s v="Mira Das"/>
    <x v="3"/>
    <x v="4"/>
    <x v="8"/>
    <s v="Noida"/>
    <x v="2"/>
    <x v="12"/>
    <s v="Classic Machines 561"/>
    <x v="1"/>
    <n v="7"/>
    <n v="4079.71"/>
    <n v="0.1"/>
    <n v="25702.17"/>
    <n v="14571.48"/>
    <n v="11130.69"/>
    <x v="1"/>
    <x v="2"/>
    <s v="June"/>
    <s v="Invalid"/>
    <s v="OK"/>
    <n v="0.1"/>
    <n v="1"/>
    <n v="11130.693000000003"/>
    <n v="25702.173000000003"/>
    <n v="-85"/>
    <s v="Unknown"/>
    <s v="ivalid"/>
    <s v="Same Day"/>
  </r>
  <r>
    <s v="Ord-2024-10480"/>
    <x v="346"/>
    <d v="2024-02-20T00:00:00"/>
    <s v="Cust-7520"/>
    <s v="Arjun Bose"/>
    <x v="2"/>
    <x v="1"/>
    <x v="1"/>
    <s v="Bhubaneswar"/>
    <x v="1"/>
    <x v="4"/>
    <s v="Max Chairs 594"/>
    <x v="0"/>
    <n v="1"/>
    <n v="2202.5500000000002"/>
    <m/>
    <n v="1651.91"/>
    <n v="1034.57"/>
    <n v="617.34"/>
    <x v="0"/>
    <x v="0"/>
    <s v="February"/>
    <s v="Invalid"/>
    <s v="OK"/>
    <n v="0"/>
    <n v="1"/>
    <n v="1167.9800000000002"/>
    <n v="2202.5500000000002"/>
    <n v="-3"/>
    <s v="East"/>
    <s v="ivalid"/>
    <s v="Second Class"/>
  </r>
  <r>
    <s v="Ord-2025-10481"/>
    <x v="53"/>
    <d v="2025-01-09T00:00:00"/>
    <s v="Cust-9947"/>
    <s v="Neha Gupta"/>
    <x v="1"/>
    <x v="2"/>
    <x v="17"/>
    <s v="Chennai"/>
    <x v="0"/>
    <x v="8"/>
    <s v="Eco Storage 923"/>
    <x v="4"/>
    <n v="5"/>
    <n v="905.16"/>
    <n v="0"/>
    <n v="4525.8"/>
    <n v="2714.51"/>
    <n v="1811.29"/>
    <x v="0"/>
    <x v="0"/>
    <s v="January"/>
    <s v="Invalid"/>
    <s v="OK"/>
    <n v="0"/>
    <n v="1"/>
    <n v="1811.29"/>
    <n v="4525.8"/>
    <n v="-112"/>
    <s v="South"/>
    <s v="ivalid"/>
    <s v="Unknown"/>
  </r>
  <r>
    <s v="Ord-2025-10482"/>
    <x v="347"/>
    <d v="2025-06-13T00:00:00"/>
    <s v="Cust-4403"/>
    <s v="Isha Nair"/>
    <x v="0"/>
    <x v="0"/>
    <x v="8"/>
    <s v="Noida"/>
    <x v="2"/>
    <x v="12"/>
    <s v="Classic Machines 287"/>
    <x v="1"/>
    <n v="4"/>
    <n v="2793.88"/>
    <n v="0.85"/>
    <n v="10616.74"/>
    <n v="6353.59"/>
    <n v="4263.1499999999996"/>
    <x v="0"/>
    <x v="0"/>
    <s v="June"/>
    <s v="OK"/>
    <s v="OK"/>
    <n v="0.85"/>
    <n v="1"/>
    <n v="-4677.2619999999997"/>
    <n v="1676.3280000000002"/>
    <n v="38"/>
    <s v="North"/>
    <s v="Clean"/>
    <s v="Same Day"/>
  </r>
  <r>
    <s v="Ord-2024-10483"/>
    <x v="11"/>
    <d v="2024-07-22T00:00:00"/>
    <s v="Cust-3583"/>
    <s v="Priya Menon"/>
    <x v="0"/>
    <x v="2"/>
    <x v="11"/>
    <s v="Bengaluru"/>
    <x v="2"/>
    <x v="5"/>
    <s v="Basic Accessories 518"/>
    <x v="0"/>
    <n v="3"/>
    <n v="1286.22"/>
    <n v="0.25"/>
    <n v="2893.99"/>
    <n v="1856.03"/>
    <n v="1037.96"/>
    <x v="0"/>
    <x v="0"/>
    <s v="July"/>
    <s v="Invalid"/>
    <s v="OK"/>
    <n v="0.25"/>
    <n v="1"/>
    <n v="1037.9649999999999"/>
    <n v="2893.9949999999999"/>
    <n v="0"/>
    <s v="South"/>
    <s v="Clean"/>
    <s v="Second Class"/>
  </r>
  <r>
    <s v="Ord-2024-10484"/>
    <x v="348"/>
    <d v="2024-12-25T00:00:00"/>
    <s v="Cust-9432"/>
    <s v="Mira Das"/>
    <x v="2"/>
    <x v="1"/>
    <x v="9"/>
    <s v="Patna"/>
    <x v="2"/>
    <x v="6"/>
    <s v="Pro Copiers 984"/>
    <x v="3"/>
    <n v="1"/>
    <n v="829.66"/>
    <n v="0.15"/>
    <n v="705.21"/>
    <n v="438.32"/>
    <n v="266.89"/>
    <x v="0"/>
    <x v="0"/>
    <s v="December"/>
    <s v="Invalid"/>
    <s v="OK"/>
    <n v="0.15"/>
    <n v="1"/>
    <n v="266.89099999999991"/>
    <n v="705.2109999999999"/>
    <n v="0"/>
    <s v="East"/>
    <s v="Clean"/>
    <s v="Standard Class"/>
  </r>
  <r>
    <s v="Ord-2024-10485"/>
    <x v="349"/>
    <d v="2024-12-31T00:00:00"/>
    <s v="Cust-1801"/>
    <s v="Mira Das"/>
    <x v="1"/>
    <x v="2"/>
    <x v="5"/>
    <s v="Vijayawada"/>
    <x v="1"/>
    <x v="3"/>
    <s v="Max Furnishings 297"/>
    <x v="2"/>
    <n v="6"/>
    <n v="3641.22"/>
    <n v="0.25"/>
    <n v="16385.490000000002"/>
    <n v="13679.24"/>
    <n v="2706.25"/>
    <x v="0"/>
    <x v="0"/>
    <s v="December"/>
    <s v="OK"/>
    <s v="OK"/>
    <n v="0.25"/>
    <n v="1"/>
    <n v="2706.2499999999982"/>
    <n v="16385.489999999998"/>
    <n v="3"/>
    <s v="South"/>
    <s v="Clean"/>
    <s v="First Class"/>
  </r>
  <r>
    <s v="Ord-2025-10486"/>
    <x v="350"/>
    <d v="2025-01-23T00:00:00"/>
    <s v="Cust-1594"/>
    <s v="Rahul Verma"/>
    <x v="2"/>
    <x v="3"/>
    <x v="14"/>
    <s v="Panaji"/>
    <x v="1"/>
    <x v="10"/>
    <s v="Elite Bookcases 802"/>
    <x v="3"/>
    <n v="4"/>
    <n v="2555.19"/>
    <n v="0.25"/>
    <n v="7665.57"/>
    <n v="5595.6"/>
    <n v="2069.9699999999998"/>
    <x v="0"/>
    <x v="0"/>
    <s v="January"/>
    <s v="OK"/>
    <s v="OK"/>
    <n v="0.25"/>
    <n v="1"/>
    <n v="2069.9699999999993"/>
    <n v="7665.57"/>
    <n v="1"/>
    <s v="West"/>
    <s v="Clean"/>
    <s v="Standard Class"/>
  </r>
  <r>
    <s v="Ord-2025-10487"/>
    <x v="262"/>
    <d v="2025-06-26T00:00:00"/>
    <s v="Cust-8132"/>
    <s v="Rahul Verma"/>
    <x v="2"/>
    <x v="3"/>
    <x v="14"/>
    <s v="Panaji"/>
    <x v="1"/>
    <x v="1"/>
    <s v="Pro Tables 257"/>
    <x v="3"/>
    <n v="3"/>
    <n v="1946.18"/>
    <n v="0.2"/>
    <n v="4670.83"/>
    <n v="3166.49"/>
    <n v="1504.34"/>
    <x v="0"/>
    <x v="0"/>
    <s v="June"/>
    <s v="OK"/>
    <s v="OK"/>
    <n v="0.2"/>
    <n v="1"/>
    <n v="1504.3420000000006"/>
    <n v="4670.8320000000003"/>
    <n v="4"/>
    <s v="West"/>
    <s v="Clean"/>
    <s v="Standard Class"/>
  </r>
  <r>
    <s v="Ord-2025-10488"/>
    <x v="351"/>
    <d v="2025-06-17T00:00:00"/>
    <s v="Cust-7685"/>
    <s v="Rahul Verma"/>
    <x v="2"/>
    <x v="2"/>
    <x v="2"/>
    <s v="Hyderabad"/>
    <x v="1"/>
    <x v="3"/>
    <s v="Prime Furnishings 299"/>
    <x v="3"/>
    <n v="5"/>
    <n v="1231.0999999999999"/>
    <n v="0"/>
    <n v="6155.5"/>
    <n v="4282.09"/>
    <n v="1873.41"/>
    <x v="1"/>
    <x v="2"/>
    <s v="June"/>
    <s v="Invalid"/>
    <s v="OK"/>
    <n v="0"/>
    <n v="1"/>
    <n v="1873.4099999999999"/>
    <n v="6155.5"/>
    <n v="-111"/>
    <s v="South"/>
    <s v="ivalid"/>
    <s v="Standard Class"/>
  </r>
  <r>
    <s v="Ord-2024-10489"/>
    <x v="197"/>
    <d v="2024-10-20T00:00:00"/>
    <s v="Cust-2183"/>
    <s v="Aditi Sen"/>
    <x v="1"/>
    <x v="0"/>
    <x v="0"/>
    <s v="Jaipur"/>
    <x v="1"/>
    <x v="1"/>
    <s v="Eco Tables 487"/>
    <x v="1"/>
    <n v="7"/>
    <n v="1547.6"/>
    <n v="0.2"/>
    <n v="8666.56"/>
    <n v="5967.44"/>
    <n v="2699.12"/>
    <x v="0"/>
    <x v="0"/>
    <s v="October"/>
    <s v="OK"/>
    <s v="OK"/>
    <n v="0.2"/>
    <n v="1"/>
    <n v="2699.12"/>
    <n v="8666.56"/>
    <n v="6"/>
    <s v="North"/>
    <s v="Clean"/>
    <s v="Same Day"/>
  </r>
  <r>
    <s v="Ord-2024-10490"/>
    <x v="54"/>
    <d v="2024-02-12T00:00:00"/>
    <s v="Cust-1636"/>
    <s v="Arjun Bose"/>
    <x v="3"/>
    <x v="1"/>
    <x v="6"/>
    <s v="Kolkata"/>
    <x v="2"/>
    <x v="5"/>
    <s v="Prime Accessories 960"/>
    <x v="0"/>
    <n v="1"/>
    <n v="452.19"/>
    <n v="0.2"/>
    <n v="361.75"/>
    <n v="262.52999999999997"/>
    <n v="99.22"/>
    <x v="0"/>
    <x v="0"/>
    <s v="February"/>
    <s v="Invalid"/>
    <s v="OK"/>
    <n v="0.2"/>
    <n v="1"/>
    <n v="99.222000000000037"/>
    <n v="361.75200000000001"/>
    <n v="-141"/>
    <s v="East"/>
    <s v="ivalid"/>
    <s v="Second Class"/>
  </r>
  <r>
    <s v="Ord-2024-10491"/>
    <x v="352"/>
    <d v="2024-09-19T00:00:00"/>
    <s v="Cust-1350"/>
    <s v="Aditi Sen"/>
    <x v="0"/>
    <x v="3"/>
    <x v="0"/>
    <s v="Udaipur"/>
    <x v="0"/>
    <x v="9"/>
    <s v="Smart Binders 191"/>
    <x v="2"/>
    <n v="7"/>
    <n v="406.42"/>
    <n v="0.15"/>
    <n v="2418.1999999999998"/>
    <n v="1613.82"/>
    <n v="804.38"/>
    <x v="0"/>
    <x v="0"/>
    <s v="September"/>
    <s v="OK"/>
    <s v="OK"/>
    <n v="0.15"/>
    <n v="1"/>
    <n v="804.37900000000013"/>
    <n v="2418.1990000000001"/>
    <n v="3"/>
    <s v="West"/>
    <s v="Clean"/>
    <s v="First Class"/>
  </r>
  <r>
    <s v="Ord-2025-10492"/>
    <x v="187"/>
    <d v="2025-04-30T00:00:00"/>
    <s v="Cust-4101"/>
    <s v="Mira Das"/>
    <x v="2"/>
    <x v="2"/>
    <x v="13"/>
    <s v="Kochi"/>
    <x v="2"/>
    <x v="5"/>
    <s v="Prime Accessories 118"/>
    <x v="3"/>
    <n v="4"/>
    <n v="606.58000000000004"/>
    <n v="0.2"/>
    <n v="1941.06"/>
    <n v="1207.42"/>
    <n v="733.64"/>
    <x v="0"/>
    <x v="0"/>
    <s v="April"/>
    <s v="OK"/>
    <s v="OK"/>
    <n v="0.2"/>
    <n v="1"/>
    <n v="733.63600000000019"/>
    <n v="1941.0560000000003"/>
    <n v="1"/>
    <s v="South"/>
    <s v="Clean"/>
    <s v="Standard Class"/>
  </r>
  <r>
    <s v="Ord-2025-10493"/>
    <x v="193"/>
    <d v="2025-02-07T00:00:00"/>
    <s v="Cust-4679"/>
    <s v="Ananya Rao"/>
    <x v="2"/>
    <x v="2"/>
    <x v="5"/>
    <s v="Vijayawada"/>
    <x v="0"/>
    <x v="8"/>
    <s v="Elite Storage 331"/>
    <x v="0"/>
    <n v="2"/>
    <n v="2725.44"/>
    <n v="0.25"/>
    <n v="4088.16"/>
    <n v="3205.68"/>
    <n v="882.48"/>
    <x v="0"/>
    <x v="0"/>
    <s v="February"/>
    <s v="Invalid"/>
    <s v="OK"/>
    <n v="0.25"/>
    <n v="1"/>
    <n v="882.48"/>
    <n v="4088.16"/>
    <n v="-141"/>
    <s v="South"/>
    <s v="ivalid"/>
    <s v="Second Class"/>
  </r>
  <r>
    <s v="Ord-2025-10494"/>
    <x v="228"/>
    <d v="2025-02-13T00:00:00"/>
    <s v="Cust-3765"/>
    <s v="Kabir Singh"/>
    <x v="2"/>
    <x v="1"/>
    <x v="1"/>
    <s v="Bhubaneswar"/>
    <x v="0"/>
    <x v="0"/>
    <s v="Prime Paper 996"/>
    <x v="0"/>
    <n v="7"/>
    <n v="2296.6999999999998"/>
    <n v="0.05"/>
    <n v="15273.05"/>
    <n v="11088.76"/>
    <n v="4184.29"/>
    <x v="0"/>
    <x v="0"/>
    <s v="February"/>
    <s v="Invalid"/>
    <s v="OK"/>
    <n v="0.05"/>
    <n v="1"/>
    <n v="4184.2949999999964"/>
    <n v="15273.054999999997"/>
    <n v="0"/>
    <s v="East"/>
    <s v="Clean"/>
    <s v="Second Class"/>
  </r>
  <r>
    <s v="Ord-2024-10495"/>
    <x v="221"/>
    <d v="2024-11-22T00:00:00"/>
    <s v="Cust-9056"/>
    <s v="Isha Nair"/>
    <x v="0"/>
    <x v="3"/>
    <x v="4"/>
    <s v="Indore"/>
    <x v="2"/>
    <x v="11"/>
    <s v="Smart Phones 125"/>
    <x v="3"/>
    <n v="3"/>
    <n v="671.68"/>
    <n v="-0.13"/>
    <n v="1712.78"/>
    <n v="1569.38"/>
    <n v="360.66"/>
    <x v="3"/>
    <x v="1"/>
    <s v="November"/>
    <s v="OK"/>
    <s v="Negative Discount"/>
    <n v="-0.13"/>
    <n v="1"/>
    <n v="707.61519999999973"/>
    <n v="2276.9951999999998"/>
    <n v="8"/>
    <s v="West"/>
    <s v="ivalid"/>
    <s v="Standard Class"/>
  </r>
  <r>
    <s v="Ord-2024-10496"/>
    <x v="326"/>
    <d v="2024-05-15T00:00:00"/>
    <s v="Cust-9801"/>
    <s v="Mira Das"/>
    <x v="1"/>
    <x v="1"/>
    <x v="10"/>
    <s v="Guwahati"/>
    <x v="2"/>
    <x v="11"/>
    <s v="Eco Phones 220"/>
    <x v="0"/>
    <n v="4"/>
    <n v="995.98"/>
    <n v="0.05"/>
    <n v="3784.72"/>
    <n v="2419.2399999999998"/>
    <n v="1365.48"/>
    <x v="1"/>
    <x v="2"/>
    <s v="May"/>
    <s v="Invalid"/>
    <s v="OK"/>
    <n v="0.05"/>
    <n v="1"/>
    <n v="1365.4839999999999"/>
    <n v="3784.7239999999997"/>
    <n v="-113"/>
    <s v="East"/>
    <s v="ivalid"/>
    <s v="Second Class"/>
  </r>
  <r>
    <s v="Ord-2025-10497"/>
    <x v="353"/>
    <d v="2025-07-06T00:00:00"/>
    <s v="Cust-2038"/>
    <s v="Kabir Singh"/>
    <x v="1"/>
    <x v="1"/>
    <x v="15"/>
    <s v="Ranchi"/>
    <x v="1"/>
    <x v="4"/>
    <s v="Eco Chairs 795"/>
    <x v="0"/>
    <n v="2"/>
    <n v="3686.42"/>
    <n v="0.1"/>
    <n v="6635.56"/>
    <n v="3652.91"/>
    <n v="2982.65"/>
    <x v="0"/>
    <x v="0"/>
    <s v="July"/>
    <s v="OK"/>
    <s v="OK"/>
    <n v="0.1"/>
    <n v="1"/>
    <n v="2982.6460000000006"/>
    <n v="6635.5560000000005"/>
    <n v="90"/>
    <s v="East"/>
    <s v="Clean"/>
    <s v="Second Class"/>
  </r>
  <r>
    <s v="Ord-2024-10498"/>
    <x v="301"/>
    <d v="2024-08-29T00:00:00"/>
    <s v="Cust-1567"/>
    <s v="Sneha Kapoor"/>
    <x v="1"/>
    <x v="0"/>
    <x v="8"/>
    <s v="Noida"/>
    <x v="2"/>
    <x v="5"/>
    <s v="Smart Accessories 896"/>
    <x v="0"/>
    <n v="1"/>
    <n v="3106.88"/>
    <n v="0.2"/>
    <n v="2485.5"/>
    <n v="2028.43"/>
    <n v="457.07"/>
    <x v="0"/>
    <x v="1"/>
    <s v="August"/>
    <s v="Invalid"/>
    <s v="OK"/>
    <n v="0.2"/>
    <n v="1"/>
    <n v="457.0740000000003"/>
    <n v="2485.5040000000004"/>
    <n v="0"/>
    <s v="North"/>
    <s v="Clean"/>
    <s v="Second Class"/>
  </r>
  <r>
    <s v="Ord-2025-10499"/>
    <x v="354"/>
    <d v="2025-09-10T00:00:00"/>
    <s v="Cust-1190"/>
    <s v="Karan Malhotra"/>
    <x v="0"/>
    <x v="0"/>
    <x v="7"/>
    <s v="Ludhiana"/>
    <x v="1"/>
    <x v="4"/>
    <s v="Basic Chairs 255"/>
    <x v="1"/>
    <n v="2"/>
    <n v="447.55"/>
    <n v="0.05"/>
    <n v="850.35"/>
    <n v="600.98"/>
    <n v="249.37"/>
    <x v="1"/>
    <x v="1"/>
    <s v="September"/>
    <s v="OK"/>
    <s v="OK"/>
    <n v="0.05"/>
    <n v="1"/>
    <n v="249.36500000000001"/>
    <n v="850.34500000000003"/>
    <n v="63"/>
    <s v="North"/>
    <s v="Clean"/>
    <s v="Same Day"/>
  </r>
  <r>
    <s v="Ord-2024-10500"/>
    <x v="355"/>
    <d v="2024-12-26T00:00:00"/>
    <s v="Cust-5604"/>
    <s v="Rahul Verma"/>
    <x v="3"/>
    <x v="0"/>
    <x v="8"/>
    <s v="Noida"/>
    <x v="1"/>
    <x v="4"/>
    <s v="Eco Chairs 210"/>
    <x v="3"/>
    <n v="9"/>
    <n v="1110.8699999999999"/>
    <m/>
    <n v="7498.37"/>
    <n v="6059.07"/>
    <n v="1439.3"/>
    <x v="0"/>
    <x v="1"/>
    <s v="December"/>
    <s v="OK"/>
    <s v="OK"/>
    <n v="0"/>
    <n v="1"/>
    <n v="3938.7599999999984"/>
    <n v="9997.8299999999981"/>
    <n v="4"/>
    <s v="North"/>
    <s v="Clean"/>
    <s v="Standard Class"/>
  </r>
  <r>
    <s v="Ord-2024-10501"/>
    <x v="356"/>
    <d v="2024-05-22T00:00:00"/>
    <s v="Cust-7661"/>
    <s v="Sneha Kapoor"/>
    <x v="0"/>
    <x v="2"/>
    <x v="13"/>
    <s v="Kochi"/>
    <x v="2"/>
    <x v="11"/>
    <s v="Prime Phones 533"/>
    <x v="1"/>
    <n v="9"/>
    <n v="3795.99"/>
    <n v="0.85"/>
    <n v="34163.910000000003"/>
    <n v="28577.15"/>
    <n v="5586.76"/>
    <x v="0"/>
    <x v="0"/>
    <s v="May"/>
    <s v="OK"/>
    <s v="OK"/>
    <n v="0.85"/>
    <n v="1"/>
    <n v="-23452.5635"/>
    <n v="5124.5865000000003"/>
    <n v="5"/>
    <s v="South"/>
    <s v="Clean"/>
    <s v="Same Day"/>
  </r>
  <r>
    <s v="Ord-2024-10502"/>
    <x v="357"/>
    <d v="2024-08-17T00:00:00"/>
    <s v="Cust-3710"/>
    <s v="Neha Gupta"/>
    <x v="0"/>
    <x v="1"/>
    <x v="15"/>
    <s v="Ranchi"/>
    <x v="0"/>
    <x v="2"/>
    <s v="Elite Art 325"/>
    <x v="0"/>
    <n v="6"/>
    <n v="3497.54"/>
    <n v="0.15"/>
    <n v="17837.45"/>
    <n v="13627.02"/>
    <n v="4210.43"/>
    <x v="0"/>
    <x v="0"/>
    <s v="August"/>
    <s v="Invalid"/>
    <s v="OK"/>
    <n v="0.15"/>
    <n v="1"/>
    <n v="4210.4339999999975"/>
    <n v="17837.453999999998"/>
    <n v="-83"/>
    <s v="East"/>
    <s v="ivalid"/>
    <s v="Second Class"/>
  </r>
  <r>
    <s v="Ord-2024-10503"/>
    <x v="338"/>
    <d v="2024-04-09T00:00:00"/>
    <s v="Cust-1534"/>
    <s v="Priya Menon"/>
    <x v="1"/>
    <x v="1"/>
    <x v="1"/>
    <s v="Bhubaneswar"/>
    <x v="2"/>
    <x v="6"/>
    <s v="Prime Copiers 557"/>
    <x v="0"/>
    <n v="6"/>
    <n v="826.93"/>
    <n v="0.1"/>
    <n v="4465.42"/>
    <n v="3377.1"/>
    <n v="1088.32"/>
    <x v="0"/>
    <x v="0"/>
    <s v="April"/>
    <s v="OK"/>
    <s v="OK"/>
    <n v="0.1"/>
    <n v="1"/>
    <n v="1088.3220000000006"/>
    <n v="4465.4220000000005"/>
    <n v="96"/>
    <s v="East"/>
    <s v="Clean"/>
    <s v="Second Class"/>
  </r>
  <r>
    <s v="Ord-2024-10504"/>
    <x v="358"/>
    <d v="2024-10-05T00:00:00"/>
    <s v="Cust-7422"/>
    <s v="Aarav Sharma"/>
    <x v="0"/>
    <x v="2"/>
    <x v="17"/>
    <s v="Chennai"/>
    <x v="2"/>
    <x v="11"/>
    <s v="Smart Phones 674"/>
    <x v="3"/>
    <n v="7"/>
    <n v="1681.6"/>
    <n v="0.1"/>
    <n v="10594.08"/>
    <n v="7160.31"/>
    <n v="3433.77"/>
    <x v="0"/>
    <x v="0"/>
    <s v="October"/>
    <s v="OK"/>
    <s v="OK"/>
    <n v="0.1"/>
    <n v="1"/>
    <n v="3433.7699999999995"/>
    <n v="10594.08"/>
    <n v="7"/>
    <s v="South"/>
    <s v="Clean"/>
    <s v="Standard Class"/>
  </r>
  <r>
    <s v="Ord-2025-10505"/>
    <x v="285"/>
    <d v="2025-02-17T00:00:00"/>
    <s v="Cust-9693"/>
    <s v="Arjun Bose"/>
    <x v="2"/>
    <x v="3"/>
    <x v="12"/>
    <s v="Ahmedabad"/>
    <x v="0"/>
    <x v="2"/>
    <s v="Elite Art 553"/>
    <x v="3"/>
    <n v="4"/>
    <n v="4328.12"/>
    <n v="0"/>
    <n v="17312.48"/>
    <n v="14424.22"/>
    <n v="2888.26"/>
    <x v="0"/>
    <x v="0"/>
    <s v="February"/>
    <s v="Invalid"/>
    <s v="OK"/>
    <n v="0"/>
    <n v="1"/>
    <n v="2888.26"/>
    <n v="17312.48"/>
    <n v="-288"/>
    <s v="West"/>
    <s v="ivalid"/>
    <s v="Standard Class"/>
  </r>
  <r>
    <s v="Ord-2024-10506"/>
    <x v="304"/>
    <d v="2024-11-14T00:00:00"/>
    <s v="Cust-5458"/>
    <s v="Neha Gupta"/>
    <x v="2"/>
    <x v="3"/>
    <x v="4"/>
    <s v="Indore"/>
    <x v="0"/>
    <x v="2"/>
    <s v="Classic Art 339"/>
    <x v="2"/>
    <n v="9"/>
    <n v="2438.29"/>
    <n v="0.2"/>
    <n v="17555.689999999999"/>
    <n v="13293.2"/>
    <n v="4262.49"/>
    <x v="0"/>
    <x v="1"/>
    <s v="November"/>
    <s v="OK"/>
    <s v="OK"/>
    <n v="0.2"/>
    <n v="1"/>
    <n v="4262.4880000000012"/>
    <n v="17555.688000000002"/>
    <n v="64"/>
    <s v="West"/>
    <s v="Clean"/>
    <s v="First Class"/>
  </r>
  <r>
    <s v="Ord-2024-10507"/>
    <x v="359"/>
    <d v="2024-12-15T00:00:00"/>
    <s v="Cust-3011"/>
    <s v="Aarav Sharma"/>
    <x v="1"/>
    <x v="0"/>
    <x v="7"/>
    <s v="Ludhiana"/>
    <x v="1"/>
    <x v="3"/>
    <s v="Smart Furnishings 352"/>
    <x v="2"/>
    <n v="2"/>
    <n v="669.8"/>
    <n v="0.1"/>
    <n v="1205.6400000000001"/>
    <n v="842.07"/>
    <n v="363.57"/>
    <x v="1"/>
    <x v="2"/>
    <s v="December"/>
    <s v="Invalid"/>
    <s v="OK"/>
    <n v="0.1"/>
    <n v="1"/>
    <n v="363.56999999999982"/>
    <n v="1205.6399999999999"/>
    <n v="0"/>
    <s v="North"/>
    <s v="Clean"/>
    <s v="First Class"/>
  </r>
  <r>
    <s v="Ord-2025-10508"/>
    <x v="360"/>
    <d v="2025-04-22T00:00:00"/>
    <s v="Cust-1826"/>
    <s v="Isha Nair"/>
    <x v="1"/>
    <x v="0"/>
    <x v="16"/>
    <s v="Gurugram"/>
    <x v="0"/>
    <x v="9"/>
    <s v="Classic Binders 602"/>
    <x v="1"/>
    <n v="4"/>
    <n v="2990.42"/>
    <n v="0.25"/>
    <n v="8971.26"/>
    <n v="6814.35"/>
    <n v="2156.91"/>
    <x v="0"/>
    <x v="0"/>
    <s v="April"/>
    <s v="OK"/>
    <s v="OK"/>
    <n v="0.25"/>
    <n v="1"/>
    <n v="2156.91"/>
    <n v="8971.26"/>
    <n v="7"/>
    <s v="North"/>
    <s v="Clean"/>
    <s v="Same Day"/>
  </r>
  <r>
    <s v="Ord-2024-10509"/>
    <x v="361"/>
    <d v="2024-04-07T00:00:00"/>
    <s v="Cust-3333"/>
    <s v="Isha Nair"/>
    <x v="1"/>
    <x v="0"/>
    <x v="16"/>
    <s v="Gurugram"/>
    <x v="2"/>
    <x v="12"/>
    <s v="Smart Machines 853"/>
    <x v="0"/>
    <n v="4"/>
    <n v="1831"/>
    <n v="0"/>
    <n v="7324"/>
    <n v="4179.63"/>
    <n v="3144.37"/>
    <x v="0"/>
    <x v="0"/>
    <s v="April"/>
    <s v="OK"/>
    <s v="OK"/>
    <n v="0"/>
    <n v="1"/>
    <n v="3144.37"/>
    <n v="7324"/>
    <n v="7"/>
    <s v="North"/>
    <s v="Clean"/>
    <s v="Second Class"/>
  </r>
  <r>
    <s v="Ord-2025-10510"/>
    <x v="259"/>
    <d v="2025-05-14T00:00:00"/>
    <s v="Cust-7901"/>
    <s v="Neha Gupta"/>
    <x v="0"/>
    <x v="3"/>
    <x v="12"/>
    <s v="Ahmedabad"/>
    <x v="2"/>
    <x v="12"/>
    <s v="Classic Machines 599"/>
    <x v="1"/>
    <n v="8"/>
    <n v="3631.44"/>
    <n v="0.2"/>
    <n v="23241.22"/>
    <n v="17220.900000000001"/>
    <n v="6020.32"/>
    <x v="0"/>
    <x v="0"/>
    <s v="May"/>
    <s v="Invalid"/>
    <s v="OK"/>
    <n v="0.2"/>
    <n v="1"/>
    <n v="6020.3159999999989"/>
    <n v="23241.216"/>
    <n v="-205"/>
    <s v="West"/>
    <s v="ivalid"/>
    <s v="Same Day"/>
  </r>
  <r>
    <s v="Ord-2024-10511"/>
    <x v="101"/>
    <d v="2024-10-21T00:00:00"/>
    <s v="Cust-9759"/>
    <s v="Aarav Sharma"/>
    <x v="0"/>
    <x v="2"/>
    <x v="11"/>
    <s v="Bengaluru"/>
    <x v="0"/>
    <x v="8"/>
    <s v="Pro Storage 373"/>
    <x v="0"/>
    <n v="2"/>
    <n v="4238.51"/>
    <n v="0"/>
    <n v="8477.02"/>
    <n v="6884.96"/>
    <n v="1592.06"/>
    <x v="0"/>
    <x v="0"/>
    <s v="October"/>
    <s v="OK"/>
    <s v="OK"/>
    <n v="0"/>
    <n v="1"/>
    <n v="1592.0600000000004"/>
    <n v="8477.02"/>
    <n v="3"/>
    <s v="South"/>
    <s v="Clean"/>
    <s v="Second Class"/>
  </r>
  <r>
    <s v="Ord-2024-10512"/>
    <x v="362"/>
    <d v="2024-10-26T00:00:00"/>
    <s v="Cust-7232"/>
    <s v="Sneha Kapoor"/>
    <x v="0"/>
    <x v="3"/>
    <x v="4"/>
    <s v="Indore"/>
    <x v="1"/>
    <x v="10"/>
    <s v="Smart Bookcases 920"/>
    <x v="3"/>
    <n v="9"/>
    <n v="544.27"/>
    <n v="0.25"/>
    <n v="3673.82"/>
    <n v="2088.15"/>
    <n v="1585.67"/>
    <x v="0"/>
    <x v="0"/>
    <s v="October"/>
    <s v="OK"/>
    <s v="OK"/>
    <n v="0.25"/>
    <n v="1"/>
    <n v="1585.6725000000001"/>
    <n v="3673.8225000000002"/>
    <n v="3"/>
    <s v="West"/>
    <s v="Clean"/>
    <s v="Standard Class"/>
  </r>
  <r>
    <s v="Ord-2025-10513"/>
    <x v="120"/>
    <d v="2025-03-03T00:00:00"/>
    <s v="Cust-9943"/>
    <s v="Isha Nair"/>
    <x v="2"/>
    <x v="2"/>
    <x v="13"/>
    <s v="Kochi"/>
    <x v="0"/>
    <x v="7"/>
    <s v="Pro Labels 849"/>
    <x v="0"/>
    <n v="2"/>
    <n v="4031.45"/>
    <n v="0.25"/>
    <n v="6047.17"/>
    <n v="3368.79"/>
    <n v="2678.38"/>
    <x v="0"/>
    <x v="0"/>
    <s v="March"/>
    <s v="OK"/>
    <s v="OK"/>
    <n v="0.25"/>
    <n v="1"/>
    <n v="2678.3849999999993"/>
    <n v="6047.1749999999993"/>
    <n v="28"/>
    <s v="South"/>
    <s v="Clean"/>
    <s v="Second Class"/>
  </r>
  <r>
    <s v="Ord-2025-10514"/>
    <x v="102"/>
    <d v="2025-02-07T00:00:00"/>
    <s v="Cust-8993"/>
    <s v="Aarav Sharma"/>
    <x v="2"/>
    <x v="2"/>
    <x v="13"/>
    <s v="Kochi"/>
    <x v="2"/>
    <x v="5"/>
    <s v="Prime Accessories 849"/>
    <x v="2"/>
    <n v="6"/>
    <n v="1099.49"/>
    <n v="0.1"/>
    <n v="6212.38"/>
    <n v="4088.46"/>
    <n v="1848.79"/>
    <x v="0"/>
    <x v="0"/>
    <s v="February"/>
    <s v="Invalid"/>
    <s v="OK"/>
    <n v="0.1"/>
    <n v="1"/>
    <n v="1848.786000000001"/>
    <n v="5937.246000000001"/>
    <n v="-140"/>
    <s v="South"/>
    <s v="ivalid"/>
    <s v="First Class"/>
  </r>
  <r>
    <s v="Ord-2024-10515"/>
    <x v="363"/>
    <d v="2024-11-22T00:00:00"/>
    <s v="Cust-7729"/>
    <s v="Karan Malhotra"/>
    <x v="3"/>
    <x v="2"/>
    <x v="13"/>
    <s v="Kochi"/>
    <x v="2"/>
    <x v="5"/>
    <s v="Smart Accessories 388"/>
    <x v="3"/>
    <n v="6"/>
    <n v="3872.94"/>
    <n v="0.1"/>
    <n v="20913.88"/>
    <n v="11684.68"/>
    <n v="9229.2000000000007"/>
    <x v="0"/>
    <x v="0"/>
    <s v="November"/>
    <s v="OK"/>
    <s v="OK"/>
    <n v="0.1"/>
    <n v="1"/>
    <n v="9229.1959999999999"/>
    <n v="20913.876"/>
    <n v="4"/>
    <s v="South"/>
    <s v="Clean"/>
    <s v="Standard Class"/>
  </r>
  <r>
    <s v="Ord-2025-10516"/>
    <x v="317"/>
    <d v="2025-04-11T00:00:00"/>
    <s v="Cust-9986"/>
    <s v="Rahul Verma"/>
    <x v="2"/>
    <x v="0"/>
    <x v="18"/>
    <s v="New Delhi"/>
    <x v="0"/>
    <x v="0"/>
    <s v="Classic Paper 752"/>
    <x v="3"/>
    <n v="1"/>
    <n v="4458.49"/>
    <n v="-7.0000000000000007E-2"/>
    <n v="3566.79"/>
    <n v="2083.41"/>
    <n v="1483.38"/>
    <x v="0"/>
    <x v="0"/>
    <s v="April"/>
    <s v="Invalid"/>
    <s v="Negative Discount"/>
    <n v="-7.0000000000000007E-2"/>
    <n v="1"/>
    <n v="2687.1743000000006"/>
    <n v="4770.5843000000004"/>
    <n v="-207"/>
    <s v="North"/>
    <s v="ivalid"/>
    <s v="Standard Class"/>
  </r>
  <r>
    <s v="Ord-2024-10517"/>
    <x v="358"/>
    <d v="2024-10-04T00:00:00"/>
    <s v="Cust-2731"/>
    <s v="Kabir Singh"/>
    <x v="3"/>
    <x v="0"/>
    <x v="18"/>
    <s v="New Delhi"/>
    <x v="2"/>
    <x v="6"/>
    <s v="Classic Copiers 143"/>
    <x v="3"/>
    <n v="1"/>
    <n v="2233.1799999999998"/>
    <n v="0"/>
    <n v="2233.1799999999998"/>
    <n v="1585.82"/>
    <n v="647.36"/>
    <x v="3"/>
    <x v="2"/>
    <s v="October"/>
    <s v="OK"/>
    <s v="OK"/>
    <n v="0"/>
    <n v="1"/>
    <n v="647.3599999999999"/>
    <n v="2233.1799999999998"/>
    <n v="6"/>
    <s v="North"/>
    <s v="Clean"/>
    <s v="Standard Class"/>
  </r>
  <r>
    <s v="Ord-2025-10518"/>
    <x v="334"/>
    <d v="2025-05-27T00:00:00"/>
    <s v="Cust-4235"/>
    <s v="Rahul Verma"/>
    <x v="0"/>
    <x v="1"/>
    <x v="1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s v="May"/>
    <s v="OK"/>
    <s v="OK"/>
    <n v="0.2"/>
    <n v="1"/>
    <n v="2655.8380000000016"/>
    <n v="11890.368000000002"/>
    <n v="2"/>
    <s v="East"/>
    <s v="Clean"/>
    <s v="Second Class"/>
  </r>
  <r>
    <s v="Ord-2025-10519"/>
    <x v="364"/>
    <d v="2025-04-26T00:00:00"/>
    <s v="Cust-3377"/>
    <s v="Diya Patel"/>
    <x v="2"/>
    <x v="1"/>
    <x v="1"/>
    <s v="Bhubaneswar"/>
    <x v="1"/>
    <x v="1"/>
    <s v="Classic Tables 592"/>
    <x v="2"/>
    <n v="7"/>
    <n v="1604.13"/>
    <n v="0.25"/>
    <n v="8421.68"/>
    <n v="6534.47"/>
    <n v="1887.21"/>
    <x v="0"/>
    <x v="1"/>
    <s v="April"/>
    <s v="Invalid"/>
    <s v="OK"/>
    <n v="0.25"/>
    <n v="1"/>
    <n v="1887.2124999999987"/>
    <n v="8421.682499999999"/>
    <n v="-4"/>
    <s v="East"/>
    <s v="ivalid"/>
    <s v="First Class"/>
  </r>
  <r>
    <s v="Ord-2025-10520"/>
    <x v="365"/>
    <d v="2025-07-07T00:00:00"/>
    <s v="Cust-3258"/>
    <s v="Priya Menon"/>
    <x v="0"/>
    <x v="0"/>
    <x v="8"/>
    <s v="Noida"/>
    <x v="1"/>
    <x v="1"/>
    <s v="Pro Tables 412"/>
    <x v="3"/>
    <n v="4"/>
    <n v="4365.21"/>
    <n v="0.2"/>
    <n v="13968.67"/>
    <n v="8857.58"/>
    <n v="5111.09"/>
    <x v="2"/>
    <x v="1"/>
    <s v="July"/>
    <s v="OK"/>
    <s v="OK"/>
    <n v="0.2"/>
    <n v="1"/>
    <n v="5111.0920000000006"/>
    <n v="13968.672"/>
    <n v="4"/>
    <s v="North"/>
    <s v="Clean"/>
    <s v="Standard Class"/>
  </r>
  <r>
    <s v="Ord-2024-10521"/>
    <x v="366"/>
    <d v="2024-07-23T00:00:00"/>
    <s v="Cust-2155"/>
    <s v="Aarav Sharma"/>
    <x v="3"/>
    <x v="2"/>
    <x v="11"/>
    <s v="Bengaluru"/>
    <x v="2"/>
    <x v="12"/>
    <s v="Prime Machines 393"/>
    <x v="1"/>
    <n v="1"/>
    <n v="1695.91"/>
    <n v="0.05"/>
    <n v="1611.11"/>
    <n v="895.15"/>
    <n v="715.96"/>
    <x v="0"/>
    <x v="0"/>
    <s v="July"/>
    <s v="OK"/>
    <s v="OK"/>
    <n v="0.05"/>
    <n v="1"/>
    <n v="715.96449999999993"/>
    <n v="1611.1144999999999"/>
    <n v="7"/>
    <s v="South"/>
    <s v="Clean"/>
    <s v="Same Day"/>
  </r>
  <r>
    <s v="Ord-2025-10522"/>
    <x v="367"/>
    <d v="2025-04-01T00:00:00"/>
    <s v="Cust-8012"/>
    <s v="Diya Patel"/>
    <x v="0"/>
    <x v="0"/>
    <x v="7"/>
    <s v="Ludhiana"/>
    <x v="0"/>
    <x v="7"/>
    <s v="Classic Labels 776"/>
    <x v="0"/>
    <n v="6"/>
    <n v="2192.11"/>
    <n v="0.05"/>
    <n v="12495.03"/>
    <n v="9184.52"/>
    <n v="3310.51"/>
    <x v="0"/>
    <x v="0"/>
    <s v="April"/>
    <s v="OK"/>
    <s v="OK"/>
    <n v="0.05"/>
    <n v="1"/>
    <n v="3310.5069999999996"/>
    <n v="12495.027"/>
    <n v="7"/>
    <s v="North"/>
    <s v="Clean"/>
    <s v="Second Class"/>
  </r>
  <r>
    <s v="Ord-2025-10523"/>
    <x v="237"/>
    <d v="2025-03-08T00:00:00"/>
    <s v="Cust-2917"/>
    <s v="Neha Gupta"/>
    <x v="1"/>
    <x v="1"/>
    <x v="15"/>
    <s v="Ranchi"/>
    <x v="2"/>
    <x v="11"/>
    <s v="Max Phones 612"/>
    <x v="2"/>
    <n v="9"/>
    <n v="3670.54"/>
    <n v="0"/>
    <n v="33034.86"/>
    <n v="24539.83"/>
    <n v="8495.0300000000007"/>
    <x v="0"/>
    <x v="0"/>
    <s v="March"/>
    <s v="OK"/>
    <s v="OK"/>
    <n v="0"/>
    <n v="1"/>
    <n v="8495.0299999999988"/>
    <n v="33034.86"/>
    <n v="8"/>
    <s v="East"/>
    <s v="Clean"/>
    <s v="First Class"/>
  </r>
  <r>
    <s v="Ord-2024-10524"/>
    <x v="368"/>
    <d v="2024-04-03T00:00:00"/>
    <s v="Cust-4653"/>
    <s v="Kabir Singh"/>
    <x v="3"/>
    <x v="3"/>
    <x v="14"/>
    <s v="Panaji"/>
    <x v="0"/>
    <x v="0"/>
    <s v="Basic Paper 315"/>
    <x v="0"/>
    <n v="2"/>
    <n v="2902.63"/>
    <n v="0"/>
    <n v="5805.26"/>
    <n v="4654.3599999999997"/>
    <n v="1150.9000000000001"/>
    <x v="0"/>
    <x v="2"/>
    <s v="April"/>
    <s v="OK"/>
    <s v="OK"/>
    <n v="0"/>
    <n v="1"/>
    <n v="1150.9000000000005"/>
    <n v="5805.26"/>
    <n v="1"/>
    <s v="West"/>
    <s v="Clean"/>
    <s v="Second Class"/>
  </r>
  <r>
    <s v="Ord-2024-10525"/>
    <x v="110"/>
    <d v="2024-12-01T00:00:00"/>
    <s v="Cust-3311"/>
    <s v="Ananya Rao"/>
    <x v="2"/>
    <x v="3"/>
    <x v="12"/>
    <s v="Ahmedabad"/>
    <x v="1"/>
    <x v="4"/>
    <s v="Basic Chairs 333"/>
    <x v="2"/>
    <n v="9"/>
    <n v="4207.3599999999997"/>
    <n v="0.1"/>
    <n v="34079.620000000003"/>
    <n v="21871.39"/>
    <n v="12208.23"/>
    <x v="0"/>
    <x v="0"/>
    <s v="December"/>
    <s v="OK"/>
    <s v="OK"/>
    <n v="0.1"/>
    <n v="1"/>
    <n v="12208.226000000002"/>
    <n v="34079.616000000002"/>
    <n v="1"/>
    <s v="West"/>
    <s v="Clean"/>
    <s v="First Class"/>
  </r>
  <r>
    <s v="Ord-2024-10526"/>
    <x v="369"/>
    <d v="2024-10-17T00:00:00"/>
    <s v="Cust-2924"/>
    <s v="Priya Menon"/>
    <x v="3"/>
    <x v="1"/>
    <x v="6"/>
    <s v="Kolkata"/>
    <x v="1"/>
    <x v="4"/>
    <s v="Prime Chairs 215"/>
    <x v="3"/>
    <n v="5"/>
    <n v="2524.4"/>
    <n v="0.1"/>
    <n v="11359.8"/>
    <n v="7062.44"/>
    <n v="4297.3599999999997"/>
    <x v="0"/>
    <x v="0"/>
    <s v="October"/>
    <s v="Invalid"/>
    <s v="OK"/>
    <n v="0.1"/>
    <n v="1"/>
    <n v="4297.3600000000015"/>
    <n v="11359.800000000001"/>
    <n v="0"/>
    <s v="East"/>
    <s v="Clean"/>
    <s v="Standard Class"/>
  </r>
  <r>
    <s v="Ord-2025-10527"/>
    <x v="370"/>
    <d v="2025-07-21T00:00:00"/>
    <s v="Cust-7198"/>
    <s v="Priya Menon"/>
    <x v="0"/>
    <x v="1"/>
    <x v="1"/>
    <s v="Bhubaneswar"/>
    <x v="1"/>
    <x v="1"/>
    <s v="Elite Tables 815"/>
    <x v="0"/>
    <n v="4"/>
    <n v="284.04000000000002"/>
    <m/>
    <n v="908.93"/>
    <n v="572.08000000000004"/>
    <n v="336.85"/>
    <x v="0"/>
    <x v="0"/>
    <s v="July"/>
    <s v="OK"/>
    <s v="OK"/>
    <n v="0"/>
    <n v="1"/>
    <n v="564.08000000000004"/>
    <n v="1136.1600000000001"/>
    <n v="3"/>
    <s v="East"/>
    <s v="Clean"/>
    <s v="Second Class"/>
  </r>
  <r>
    <s v="Ord-2025-10528"/>
    <x v="371"/>
    <d v="2025-10-05T00:00:00"/>
    <s v="Cust-3419"/>
    <s v="Aditi Sen"/>
    <x v="3"/>
    <x v="0"/>
    <x v="16"/>
    <s v="Gurugram"/>
    <x v="0"/>
    <x v="0"/>
    <s v="Basic Paper 388"/>
    <x v="2"/>
    <n v="5"/>
    <n v="3247.56"/>
    <n v="0.15"/>
    <n v="13802.13"/>
    <n v="10075.93"/>
    <n v="3726.2"/>
    <x v="0"/>
    <x v="0"/>
    <s v="October"/>
    <s v="OK"/>
    <s v="OK"/>
    <n v="0.15"/>
    <n v="1"/>
    <n v="3726.1999999999989"/>
    <n v="13802.13"/>
    <n v="4"/>
    <s v="North"/>
    <s v="Clean"/>
    <s v="First Class"/>
  </r>
  <r>
    <s v="Ord-2024-10529"/>
    <x v="372"/>
    <d v="2024-10-09T00:00:00"/>
    <s v="Cust-2390"/>
    <s v="Diya Patel"/>
    <x v="0"/>
    <x v="2"/>
    <x v="17"/>
    <s v="Chennai"/>
    <x v="0"/>
    <x v="9"/>
    <s v="Eco Binders 855"/>
    <x v="3"/>
    <n v="9"/>
    <n v="3457.09"/>
    <n v="0.05"/>
    <n v="29558.12"/>
    <n v="21302.13"/>
    <n v="8255.99"/>
    <x v="2"/>
    <x v="2"/>
    <s v="October"/>
    <s v="OK"/>
    <s v="OK"/>
    <n v="0.05"/>
    <n v="1"/>
    <n v="8255.9894999999997"/>
    <n v="29558.119500000001"/>
    <n v="91"/>
    <s v="South"/>
    <s v="Clean"/>
    <s v="Standard Class"/>
  </r>
  <r>
    <s v="Ord-2024-10530"/>
    <x v="373"/>
    <d v="2024-02-08T00:00:00"/>
    <s v="Cust-3362"/>
    <s v="Karan Malhotra"/>
    <x v="0"/>
    <x v="1"/>
    <x v="15"/>
    <s v="Ranchi"/>
    <x v="1"/>
    <x v="10"/>
    <s v="Classic Bookcases 947"/>
    <x v="0"/>
    <n v="9"/>
    <n v="1822.25"/>
    <n v="0"/>
    <n v="16400.25"/>
    <n v="12146.96"/>
    <n v="4253.29"/>
    <x v="0"/>
    <x v="0"/>
    <s v="February"/>
    <s v="Invalid"/>
    <s v="OK"/>
    <n v="0"/>
    <n v="1"/>
    <n v="4253.2900000000009"/>
    <n v="16400.25"/>
    <n v="-115"/>
    <s v="East"/>
    <s v="ivalid"/>
    <s v="Second Class"/>
  </r>
  <r>
    <s v="Ord-2025-10531"/>
    <x v="51"/>
    <d v="2025-06-01T00:00:00"/>
    <s v="Cust-8177"/>
    <s v="Rahul Verma"/>
    <x v="3"/>
    <x v="2"/>
    <x v="17"/>
    <s v="Chennai"/>
    <x v="0"/>
    <x v="9"/>
    <s v="Eco Binders 352"/>
    <x v="3"/>
    <n v="9"/>
    <n v="1994.51"/>
    <n v="0.05"/>
    <n v="17053.060000000001"/>
    <n v="10742.38"/>
    <n v="6310.68"/>
    <x v="0"/>
    <x v="0"/>
    <s v="June"/>
    <s v="OK"/>
    <s v="OK"/>
    <n v="0.05"/>
    <n v="1"/>
    <n v="6310.6805000000004"/>
    <n v="17053.0605"/>
    <n v="2"/>
    <s v="South"/>
    <s v="Clean"/>
    <s v="Standard Class"/>
  </r>
  <r>
    <s v="Ord-2024-10532"/>
    <x v="374"/>
    <d v="2024-08-08T00:00:00"/>
    <s v="Cust-6357"/>
    <s v="Diya Patel"/>
    <x v="1"/>
    <x v="3"/>
    <x v="3"/>
    <s v="Mumbai"/>
    <x v="0"/>
    <x v="8"/>
    <s v="Pro Storage 364"/>
    <x v="4"/>
    <n v="1"/>
    <n v="442.97"/>
    <n v="0.1"/>
    <n v="398.67"/>
    <n v="311.66000000000003"/>
    <n v="87.01"/>
    <x v="0"/>
    <x v="0"/>
    <s v="August"/>
    <s v="OK"/>
    <s v="OK"/>
    <n v="0.1"/>
    <n v="1"/>
    <n v="87.013000000000034"/>
    <n v="398.67300000000006"/>
    <n v="213"/>
    <s v="West"/>
    <s v="Clean"/>
    <s v="Unknown"/>
  </r>
  <r>
    <s v="Ord-2025-10533"/>
    <x v="375"/>
    <d v="2025-10-10T00:00:00"/>
    <s v="Cust-7690"/>
    <s v="Priya Menon"/>
    <x v="2"/>
    <x v="1"/>
    <x v="10"/>
    <s v="Guwahati"/>
    <x v="1"/>
    <x v="1"/>
    <s v="Classic Tables 213"/>
    <x v="0"/>
    <n v="9"/>
    <n v="2089.14"/>
    <n v="0.05"/>
    <n v="17862.150000000001"/>
    <n v="9892.2099999999991"/>
    <n v="7969.94"/>
    <x v="3"/>
    <x v="1"/>
    <s v="October"/>
    <s v="OK"/>
    <s v="OK"/>
    <n v="0.05"/>
    <n v="1"/>
    <n v="7969.9369999999981"/>
    <n v="17862.146999999997"/>
    <n v="153"/>
    <s v="East"/>
    <s v="Clean"/>
    <s v="Second Class"/>
  </r>
  <r>
    <s v="Ord-2024-10534"/>
    <x v="376"/>
    <d v="2024-09-01T00:00:00"/>
    <s v="Cust-4487"/>
    <s v="Isha Nair"/>
    <x v="3"/>
    <x v="0"/>
    <x v="0"/>
    <s v="Jaipur"/>
    <x v="1"/>
    <x v="1"/>
    <s v="Smart Tables 659"/>
    <x v="1"/>
    <n v="6"/>
    <n v="481.3"/>
    <n v="0.25"/>
    <n v="2165.85"/>
    <n v="2124.48"/>
    <n v="430.45"/>
    <x v="0"/>
    <x v="0"/>
    <s v="September"/>
    <s v="OK"/>
    <s v="OK"/>
    <n v="0.25"/>
    <n v="1"/>
    <n v="41.370000000000346"/>
    <n v="2165.8500000000004"/>
    <n v="7"/>
    <s v="North"/>
    <s v="Clean"/>
    <s v="Same Day"/>
  </r>
  <r>
    <s v="Ord-2025-10535"/>
    <x v="377"/>
    <d v="2025-05-05T00:00:00"/>
    <s v="Cust-8204"/>
    <s v="Rohan Mehta"/>
    <x v="3"/>
    <x v="1"/>
    <x v="9"/>
    <s v="Patna"/>
    <x v="2"/>
    <x v="5"/>
    <s v="Classic Accessories 325"/>
    <x v="0"/>
    <n v="4"/>
    <n v="3963.39"/>
    <n v="0.1"/>
    <n v="14268.2"/>
    <n v="11705.3"/>
    <n v="2562.9"/>
    <x v="2"/>
    <x v="2"/>
    <s v="May"/>
    <s v="OK"/>
    <s v="OK"/>
    <n v="0.1"/>
    <n v="1"/>
    <n v="2562.9040000000005"/>
    <n v="14268.204"/>
    <n v="8"/>
    <s v="East"/>
    <s v="Clean"/>
    <s v="Second Class"/>
  </r>
  <r>
    <s v="Ord-2024-10536"/>
    <x v="378"/>
    <d v="2024-05-21T00:00:00"/>
    <s v="Cust-1729"/>
    <s v="Diya Patel"/>
    <x v="1"/>
    <x v="3"/>
    <x v="3"/>
    <s v="Mumbai"/>
    <x v="2"/>
    <x v="6"/>
    <s v="Eco Copiers 243"/>
    <x v="2"/>
    <n v="3"/>
    <n v="4000.98"/>
    <n v="0.2"/>
    <n v="9602.35"/>
    <n v="7387.57"/>
    <n v="2214.7800000000002"/>
    <x v="0"/>
    <x v="0"/>
    <s v="May"/>
    <s v="OK"/>
    <s v="OK"/>
    <n v="0.2"/>
    <n v="1"/>
    <n v="2214.7820000000011"/>
    <n v="9602.3520000000008"/>
    <n v="2"/>
    <s v="West"/>
    <s v="Clean"/>
    <s v="First Class"/>
  </r>
  <r>
    <s v="Ord-2025-10537"/>
    <x v="6"/>
    <d v="2025-04-17T00:00:00"/>
    <s v="Cust-4269"/>
    <s v="Ananya Rao"/>
    <x v="1"/>
    <x v="3"/>
    <x v="0"/>
    <s v="Udaipur"/>
    <x v="1"/>
    <x v="4"/>
    <s v="Elite Chairs 777"/>
    <x v="2"/>
    <n v="7"/>
    <n v="3788.9"/>
    <n v="0.25"/>
    <n v="19891.72"/>
    <n v="12295.76"/>
    <n v="7595.96"/>
    <x v="3"/>
    <x v="1"/>
    <s v="April"/>
    <s v="Invalid"/>
    <s v="OK"/>
    <n v="0.25"/>
    <n v="1"/>
    <n v="7595.9649999999983"/>
    <n v="19891.724999999999"/>
    <n v="-170"/>
    <s v="West"/>
    <s v="ivalid"/>
    <s v="First Class"/>
  </r>
  <r>
    <s v="Ord-2024-10538"/>
    <x v="167"/>
    <d v="2024-01-30T00:00:00"/>
    <s v="Cust-1370"/>
    <s v="Ananya Rao"/>
    <x v="1"/>
    <x v="0"/>
    <x v="16"/>
    <s v="Gurugram"/>
    <x v="0"/>
    <x v="2"/>
    <s v="Classic Art 772"/>
    <x v="1"/>
    <n v="3"/>
    <n v="676.37"/>
    <n v="0.05"/>
    <n v="1927.65"/>
    <n v="1460.6"/>
    <n v="467.05"/>
    <x v="3"/>
    <x v="1"/>
    <s v="January"/>
    <s v="OK"/>
    <s v="OK"/>
    <n v="0.05"/>
    <n v="1"/>
    <n v="467.05450000000019"/>
    <n v="1927.6545000000001"/>
    <n v="8"/>
    <s v="North"/>
    <s v="Clean"/>
    <s v="Same Day"/>
  </r>
  <r>
    <s v="Ord-2024-10539"/>
    <x v="105"/>
    <d v="2024-10-01T00:00:00"/>
    <s v="Cust-5381"/>
    <s v="Diya Patel"/>
    <x v="1"/>
    <x v="1"/>
    <x v="15"/>
    <s v="Ranchi"/>
    <x v="1"/>
    <x v="1"/>
    <s v="Elite Tables 888"/>
    <x v="0"/>
    <n v="9"/>
    <n v="3908.6"/>
    <n v="0.15"/>
    <n v="29900.79"/>
    <n v="24650.67"/>
    <n v="5250.12"/>
    <x v="0"/>
    <x v="0"/>
    <s v="October"/>
    <s v="OK"/>
    <s v="OK"/>
    <n v="0.15"/>
    <n v="1"/>
    <n v="5250.1200000000026"/>
    <n v="29900.79"/>
    <n v="6"/>
    <s v="East"/>
    <s v="Clean"/>
    <s v="Second Class"/>
  </r>
  <r>
    <s v="Ord-2025-10540"/>
    <x v="353"/>
    <d v="2025-07-04T00:00:00"/>
    <s v="Cust-3694"/>
    <s v="Mira Das"/>
    <x v="1"/>
    <x v="2"/>
    <x v="17"/>
    <s v="Chennai"/>
    <x v="1"/>
    <x v="4"/>
    <s v="Classic Chairs 666"/>
    <x v="3"/>
    <n v="3"/>
    <n v="705.35"/>
    <n v="0.1"/>
    <n v="1904.45"/>
    <n v="1316.54"/>
    <n v="587.91"/>
    <x v="0"/>
    <x v="1"/>
    <s v="July"/>
    <s v="OK"/>
    <s v="OK"/>
    <n v="0.1"/>
    <n v="1"/>
    <n v="587.9050000000002"/>
    <n v="1904.4450000000002"/>
    <n v="88"/>
    <s v="South"/>
    <s v="Clean"/>
    <s v="Standard Class"/>
  </r>
  <r>
    <s v="Ord-2024-10541"/>
    <x v="379"/>
    <d v="2024-02-23T00:00:00"/>
    <s v="Cust-7563"/>
    <s v="Kabir Singh"/>
    <x v="0"/>
    <x v="3"/>
    <x v="12"/>
    <s v="Ahmedabad"/>
    <x v="1"/>
    <x v="3"/>
    <s v="Basic Furnishings 350"/>
    <x v="3"/>
    <n v="7"/>
    <n v="3852.07"/>
    <n v="0.2"/>
    <n v="21571.59"/>
    <n v="17118.07"/>
    <n v="4453.5200000000004"/>
    <x v="0"/>
    <x v="0"/>
    <s v="February"/>
    <s v="Invalid"/>
    <s v="OK"/>
    <n v="0.2"/>
    <n v="1"/>
    <n v="4453.5220000000045"/>
    <n v="21571.592000000004"/>
    <n v="-3"/>
    <s v="West"/>
    <s v="ivalid"/>
    <s v="Standard Class"/>
  </r>
  <r>
    <s v="Ord-2025-10542"/>
    <x v="380"/>
    <d v="2025-07-09T00:00:00"/>
    <s v="Cust-4188"/>
    <s v="Sneha Kapoor"/>
    <x v="0"/>
    <x v="3"/>
    <x v="3"/>
    <s v="Mumbai"/>
    <x v="2"/>
    <x v="6"/>
    <s v="Elite Copiers 831"/>
    <x v="1"/>
    <n v="3"/>
    <n v="2880.56"/>
    <n v="0"/>
    <n v="8641.68"/>
    <n v="5747.09"/>
    <n v="2894.59"/>
    <x v="0"/>
    <x v="2"/>
    <s v="July"/>
    <s v="OK"/>
    <s v="OK"/>
    <n v="0"/>
    <n v="1"/>
    <n v="2894.59"/>
    <n v="8641.68"/>
    <n v="1"/>
    <s v="West"/>
    <s v="Clean"/>
    <s v="Same Day"/>
  </r>
  <r>
    <s v="Ord-2024-10543"/>
    <x v="381"/>
    <d v="2024-09-23T00:00:00"/>
    <s v="Cust-9376"/>
    <s v="Rahul Verma"/>
    <x v="3"/>
    <x v="2"/>
    <x v="13"/>
    <s v="Kochi"/>
    <x v="1"/>
    <x v="10"/>
    <s v="Eco Bookcases 759"/>
    <x v="0"/>
    <n v="3"/>
    <n v="4067.62"/>
    <n v="0.2"/>
    <n v="9988.5300000000007"/>
    <n v="8368.24"/>
    <n v="1394.05"/>
    <x v="0"/>
    <x v="1"/>
    <s v="September"/>
    <s v="OK"/>
    <s v="OK"/>
    <n v="0.2"/>
    <n v="1"/>
    <n v="1394.0480000000007"/>
    <n v="9762.2880000000005"/>
    <n v="6"/>
    <s v="South"/>
    <s v="Clean"/>
    <s v="Second Class"/>
  </r>
  <r>
    <s v="Ord-2024-10544"/>
    <x v="382"/>
    <d v="2024-07-20T00:00:00"/>
    <s v="Cust-9094"/>
    <s v="Mira Das"/>
    <x v="0"/>
    <x v="1"/>
    <x v="9"/>
    <s v="Patna"/>
    <x v="2"/>
    <x v="6"/>
    <s v="Max Copiers 440"/>
    <x v="1"/>
    <n v="1"/>
    <n v="492.67"/>
    <n v="0.15"/>
    <n v="418.77"/>
    <n v="313.72000000000003"/>
    <n v="105.05"/>
    <x v="0"/>
    <x v="0"/>
    <s v="July"/>
    <s v="OK"/>
    <s v="OK"/>
    <n v="0.15"/>
    <n v="1"/>
    <n v="105.04949999999997"/>
    <n v="418.76949999999999"/>
    <n v="6"/>
    <s v="East"/>
    <s v="Clean"/>
    <s v="Same Day"/>
  </r>
  <r>
    <s v="Ord-2025-10545"/>
    <x v="303"/>
    <d v="2025-05-02T00:00:00"/>
    <s v="Cust-2366"/>
    <s v="Ananya Rao"/>
    <x v="0"/>
    <x v="2"/>
    <x v="13"/>
    <s v="Kochi"/>
    <x v="0"/>
    <x v="2"/>
    <s v="Smart Art 201"/>
    <x v="1"/>
    <n v="8"/>
    <n v="3643.62"/>
    <n v="0.25"/>
    <n v="21861.72"/>
    <n v="18464.34"/>
    <n v="3397.38"/>
    <x v="0"/>
    <x v="1"/>
    <s v="May"/>
    <s v="OK"/>
    <s v="OK"/>
    <n v="0.25"/>
    <n v="1"/>
    <n v="3397.380000000001"/>
    <n v="21861.72"/>
    <n v="93"/>
    <s v="South"/>
    <s v="Clean"/>
    <s v="Same Day"/>
  </r>
  <r>
    <s v="Ord-2024-10546"/>
    <x v="383"/>
    <d v="2024-05-30T00:00:00"/>
    <s v="Cust-7168"/>
    <s v="Kabir Singh"/>
    <x v="1"/>
    <x v="1"/>
    <x v="15"/>
    <s v="Ranchi"/>
    <x v="0"/>
    <x v="8"/>
    <s v="Classic Storage 755"/>
    <x v="1"/>
    <n v="7"/>
    <n v="2900.86"/>
    <n v="0.15"/>
    <n v="17260.12"/>
    <n v="13513.51"/>
    <n v="3746.61"/>
    <x v="0"/>
    <x v="0"/>
    <s v="May"/>
    <s v="OK"/>
    <s v="OK"/>
    <n v="0.15"/>
    <n v="1"/>
    <n v="3746.6069999999982"/>
    <n v="17260.116999999998"/>
    <n v="3"/>
    <s v="East"/>
    <s v="Clean"/>
    <s v="Same Day"/>
  </r>
  <r>
    <s v="Ord-2025-10547"/>
    <x v="384"/>
    <d v="2025-08-22T00:00:00"/>
    <s v="Cust-8157"/>
    <s v="Arjun Bose"/>
    <x v="2"/>
    <x v="3"/>
    <x v="12"/>
    <s v="Ahmedabad"/>
    <x v="0"/>
    <x v="0"/>
    <s v="Prime Paper 143"/>
    <x v="2"/>
    <n v="5"/>
    <n v="2567.37"/>
    <n v="0.15"/>
    <n v="10911.32"/>
    <n v="6966.44"/>
    <n v="4395.17"/>
    <x v="0"/>
    <x v="0"/>
    <s v="August"/>
    <s v="OK"/>
    <s v="OK"/>
    <n v="0.15"/>
    <n v="1"/>
    <n v="3944.8824999999988"/>
    <n v="10911.322499999998"/>
    <n v="8"/>
    <s v="West"/>
    <s v="Clean"/>
    <s v="First Class"/>
  </r>
  <r>
    <s v="Ord-2024-10548"/>
    <x v="177"/>
    <d v="2024-05-23T00:00:00"/>
    <s v="Cust-9146"/>
    <s v="Neha Gupta"/>
    <x v="1"/>
    <x v="0"/>
    <x v="8"/>
    <s v="Noida"/>
    <x v="2"/>
    <x v="6"/>
    <s v="Max Copiers 607"/>
    <x v="3"/>
    <n v="9"/>
    <n v="3722.09"/>
    <n v="0.1"/>
    <n v="30148.93"/>
    <n v="25155.07"/>
    <n v="4993.8599999999997"/>
    <x v="0"/>
    <x v="0"/>
    <s v="May"/>
    <s v="OK"/>
    <s v="OK"/>
    <n v="0.1"/>
    <n v="1"/>
    <n v="4993.8590000000004"/>
    <n v="30148.929"/>
    <n v="7"/>
    <s v="North"/>
    <s v="Clean"/>
    <s v="Standard Class"/>
  </r>
  <r>
    <s v="Ord-2024-10549"/>
    <x v="32"/>
    <d v="2024-05-29T00:00:00"/>
    <s v="Cust-5129"/>
    <s v="Rohan Mehta"/>
    <x v="2"/>
    <x v="1"/>
    <x v="9"/>
    <s v="Patna"/>
    <x v="1"/>
    <x v="10"/>
    <s v="Prime Bookcases 402"/>
    <x v="1"/>
    <n v="1"/>
    <n v="1072.01"/>
    <n v="0"/>
    <n v="1072.01"/>
    <n v="852.62"/>
    <n v="219.39"/>
    <x v="2"/>
    <x v="1"/>
    <s v="May"/>
    <s v="Invalid"/>
    <s v="OK"/>
    <n v="0"/>
    <n v="1"/>
    <n v="219.39"/>
    <n v="1072.01"/>
    <n v="0"/>
    <s v="East"/>
    <s v="Clean"/>
    <s v="Same Day"/>
  </r>
  <r>
    <s v="Ord-2025-10550"/>
    <x v="385"/>
    <d v="2025-10-13T00:00:00"/>
    <s v="Cust-6028"/>
    <s v="Mira Das"/>
    <x v="2"/>
    <x v="2"/>
    <x v="2"/>
    <s v="Hyderabad"/>
    <x v="0"/>
    <x v="2"/>
    <s v="Pro Art 287"/>
    <x v="0"/>
    <n v="3"/>
    <n v="3804.27"/>
    <n v="0.1"/>
    <n v="10271.530000000001"/>
    <n v="8272.24"/>
    <n v="1999.29"/>
    <x v="0"/>
    <x v="0"/>
    <s v="October"/>
    <s v="Invalid"/>
    <s v="OK"/>
    <n v="0.1"/>
    <n v="1"/>
    <n v="1999.2890000000007"/>
    <n v="10271.529"/>
    <n v="-28"/>
    <s v="South"/>
    <s v="ivalid"/>
    <s v="Second Class"/>
  </r>
  <r>
    <s v="Ord-2024-10551"/>
    <x v="81"/>
    <d v="2024-10-08T00:00:00"/>
    <s v="Cust-8687"/>
    <s v="Mira Das"/>
    <x v="3"/>
    <x v="1"/>
    <x v="1"/>
    <s v="Bhubaneswar"/>
    <x v="2"/>
    <x v="5"/>
    <s v="Max Accessories 591"/>
    <x v="3"/>
    <n v="6"/>
    <n v="2126.44"/>
    <n v="0.2"/>
    <n v="10206.91"/>
    <n v="6764.53"/>
    <n v="3442.38"/>
    <x v="0"/>
    <x v="0"/>
    <s v="October"/>
    <s v="OK"/>
    <s v="OK"/>
    <n v="0.2"/>
    <n v="1"/>
    <n v="3442.3820000000005"/>
    <n v="10206.912"/>
    <n v="67"/>
    <s v="East"/>
    <s v="Clean"/>
    <s v="Standard Class"/>
  </r>
  <r>
    <s v="Ord-2024-10552"/>
    <x v="386"/>
    <d v="2024-02-27T00:00:00"/>
    <s v="Cust-8172"/>
    <s v="Sneha Kapoor"/>
    <x v="0"/>
    <x v="1"/>
    <x v="15"/>
    <s v="Ranchi"/>
    <x v="1"/>
    <x v="4"/>
    <s v="Elite Chairs 314"/>
    <x v="0"/>
    <n v="3"/>
    <n v="3148.09"/>
    <n v="0.15"/>
    <n v="8027.63"/>
    <n v="5496.09"/>
    <n v="2531.54"/>
    <x v="0"/>
    <x v="0"/>
    <s v="February"/>
    <s v="Invalid"/>
    <s v="OK"/>
    <n v="0.15"/>
    <n v="1"/>
    <n v="2531.5394999999999"/>
    <n v="8027.6295"/>
    <n v="0"/>
    <s v="East"/>
    <s v="Clean"/>
    <s v="Second Class"/>
  </r>
  <r>
    <s v="Ord-2025-10553"/>
    <x v="21"/>
    <d v="2025-01-30T00:00:00"/>
    <s v="Cust-8861"/>
    <s v="Ananya Rao"/>
    <x v="2"/>
    <x v="1"/>
    <x v="6"/>
    <s v="Kolkata"/>
    <x v="2"/>
    <x v="6"/>
    <s v="Pro Copiers 246"/>
    <x v="3"/>
    <n v="8"/>
    <n v="312.52999999999997"/>
    <n v="7.0000000000000007E-2"/>
    <n v="1875.18"/>
    <n v="1579.17"/>
    <n v="296.01"/>
    <x v="0"/>
    <x v="0"/>
    <s v="January"/>
    <s v="OK"/>
    <s v="OK"/>
    <n v="7.0000000000000007E-2"/>
    <n v="1"/>
    <n v="746.05319999999938"/>
    <n v="2325.2231999999995"/>
    <n v="6"/>
    <s v="East"/>
    <s v="Clean"/>
    <s v="Standard Class"/>
  </r>
  <r>
    <s v="Ord-2025-10554"/>
    <x v="387"/>
    <d v="2025-04-28T00:00:00"/>
    <s v="Cust-9241"/>
    <s v="Aarav Sharma"/>
    <x v="1"/>
    <x v="3"/>
    <x v="12"/>
    <s v="Ahmedabad"/>
    <x v="0"/>
    <x v="8"/>
    <s v="Pro Storage 128"/>
    <x v="2"/>
    <n v="9"/>
    <n v="1294.1099999999999"/>
    <n v="0.25"/>
    <n v="8735.24"/>
    <n v="6620.07"/>
    <n v="2115.17"/>
    <x v="0"/>
    <x v="0"/>
    <s v="April"/>
    <s v="OK"/>
    <s v="OK"/>
    <n v="0.25"/>
    <n v="1"/>
    <n v="2115.1725000000006"/>
    <n v="8735.2425000000003"/>
    <n v="3"/>
    <s v="West"/>
    <s v="Clean"/>
    <s v="First Class"/>
  </r>
  <r>
    <s v="Ord-2024-10555"/>
    <x v="388"/>
    <d v="2024-10-17T00:00:00"/>
    <s v="Cust-2126"/>
    <s v="Arjun Bose"/>
    <x v="0"/>
    <x v="4"/>
    <x v="15"/>
    <s v="Ranchi"/>
    <x v="1"/>
    <x v="3"/>
    <s v="Prime Furnishings 892"/>
    <x v="3"/>
    <n v="4"/>
    <n v="1071.22"/>
    <n v="0.05"/>
    <n v="4070.64"/>
    <n v="2831.62"/>
    <n v="1239.02"/>
    <x v="0"/>
    <x v="0"/>
    <s v="October"/>
    <s v="Invalid"/>
    <s v="OK"/>
    <n v="0.05"/>
    <n v="1"/>
    <n v="1239.0160000000001"/>
    <n v="4070.636"/>
    <n v="-54"/>
    <s v="Unknown"/>
    <s v="ivalid"/>
    <s v="Standard Class"/>
  </r>
  <r>
    <s v="Ord-2025-10556"/>
    <x v="389"/>
    <d v="2025-02-10T00:00:00"/>
    <s v="Cust-7513"/>
    <s v="Ananya Rao"/>
    <x v="1"/>
    <x v="2"/>
    <x v="2"/>
    <s v="Hyderabad"/>
    <x v="0"/>
    <x v="8"/>
    <s v="Prime Storage 689"/>
    <x v="3"/>
    <n v="6"/>
    <n v="1042.8"/>
    <n v="0.05"/>
    <n v="5943.96"/>
    <n v="3604.14"/>
    <n v="2339.8200000000002"/>
    <x v="0"/>
    <x v="0"/>
    <s v="February"/>
    <s v="OK"/>
    <s v="OK"/>
    <n v="0.05"/>
    <n v="1"/>
    <n v="2339.8199999999993"/>
    <n v="5943.9599999999991"/>
    <n v="6"/>
    <s v="South"/>
    <s v="Clean"/>
    <s v="Standard Class"/>
  </r>
  <r>
    <s v="Ord-2024-10557"/>
    <x v="164"/>
    <d v="2024-06-29T00:00:00"/>
    <s v="Cust-1992"/>
    <s v="Neha Gupta"/>
    <x v="0"/>
    <x v="0"/>
    <x v="16"/>
    <s v="Gurugram"/>
    <x v="1"/>
    <x v="1"/>
    <s v="Classic Tables 769"/>
    <x v="2"/>
    <n v="1"/>
    <n v="4426.66"/>
    <n v="0"/>
    <n v="4426.66"/>
    <n v="3035.2"/>
    <n v="1816.23"/>
    <x v="0"/>
    <x v="2"/>
    <s v="June"/>
    <s v="OK"/>
    <s v="OK"/>
    <n v="0"/>
    <n v="1"/>
    <n v="1391.46"/>
    <n v="4426.66"/>
    <n v="6"/>
    <s v="North"/>
    <s v="Clean"/>
    <s v="First Class"/>
  </r>
  <r>
    <s v="Ord-2024-10558"/>
    <x v="16"/>
    <d v="2024-05-14T00:00:00"/>
    <s v="Cust-8848"/>
    <s v="Vikram Iyer"/>
    <x v="3"/>
    <x v="0"/>
    <x v="16"/>
    <s v="Gurugram"/>
    <x v="2"/>
    <x v="11"/>
    <s v="Prime Phones 503"/>
    <x v="2"/>
    <n v="9"/>
    <n v="3769.46"/>
    <n v="0.05"/>
    <n v="32228.880000000001"/>
    <n v="24971.360000000001"/>
    <n v="7257.52"/>
    <x v="0"/>
    <x v="1"/>
    <s v="May"/>
    <s v="Invalid"/>
    <s v="OK"/>
    <n v="0.05"/>
    <n v="1"/>
    <n v="7257.5229999999974"/>
    <n v="32228.882999999998"/>
    <n v="-83"/>
    <s v="North"/>
    <s v="ivalid"/>
    <s v="First Class"/>
  </r>
  <r>
    <s v="Ord-2025-10559"/>
    <x v="390"/>
    <d v="2025-04-09T00:00:00"/>
    <s v="Cust-9368"/>
    <s v="Aditi Sen"/>
    <x v="2"/>
    <x v="0"/>
    <x v="7"/>
    <s v="Ludhiana"/>
    <x v="2"/>
    <x v="12"/>
    <s v="Basic Machines 136"/>
    <x v="2"/>
    <n v="8"/>
    <n v="3079.95"/>
    <n v="0.2"/>
    <n v="19711.68"/>
    <n v="14461.8"/>
    <n v="5249.88"/>
    <x v="0"/>
    <x v="0"/>
    <s v="April"/>
    <s v="Invalid"/>
    <s v="OK"/>
    <n v="0.2"/>
    <n v="1"/>
    <n v="5249.880000000001"/>
    <n v="19711.68"/>
    <n v="0"/>
    <s v="North"/>
    <s v="Clean"/>
    <s v="First Class"/>
  </r>
  <r>
    <s v="Ord-2025-10560"/>
    <x v="333"/>
    <d v="2025-10-07T00:00:00"/>
    <s v="Cust-6797"/>
    <s v="Diya Patel"/>
    <x v="2"/>
    <x v="1"/>
    <x v="9"/>
    <s v="Patna"/>
    <x v="2"/>
    <x v="6"/>
    <s v="Basic Copiers 512"/>
    <x v="0"/>
    <n v="5"/>
    <n v="3277.82"/>
    <n v="0.1"/>
    <n v="14750.19"/>
    <n v="9482.58"/>
    <n v="5267.61"/>
    <x v="0"/>
    <x v="2"/>
    <s v="October"/>
    <s v="OK"/>
    <s v="OK"/>
    <n v="0.1"/>
    <n v="1"/>
    <n v="5267.6100000000024"/>
    <n v="14750.190000000002"/>
    <n v="7"/>
    <s v="East"/>
    <s v="Clean"/>
    <s v="Second Class"/>
  </r>
  <r>
    <s v="Ord-2024-10561"/>
    <x v="391"/>
    <d v="2024-01-22T00:00:00"/>
    <s v="Cust-9333"/>
    <s v="Arjun Bose"/>
    <x v="0"/>
    <x v="3"/>
    <x v="14"/>
    <s v="Panaji"/>
    <x v="0"/>
    <x v="8"/>
    <s v="Smart Storage 767"/>
    <x v="3"/>
    <n v="4"/>
    <n v="282.52999999999997"/>
    <n v="0"/>
    <n v="1130.1199999999999"/>
    <n v="848.62"/>
    <n v="281.5"/>
    <x v="0"/>
    <x v="1"/>
    <s v="January"/>
    <s v="OK"/>
    <s v="OK"/>
    <n v="0"/>
    <n v="1"/>
    <n v="281.49999999999989"/>
    <n v="1130.1199999999999"/>
    <n v="6"/>
    <s v="West"/>
    <s v="Clean"/>
    <s v="Standard Class"/>
  </r>
  <r>
    <s v="Ord-2025-10562"/>
    <x v="116"/>
    <d v="2025-07-18T00:00:00"/>
    <s v="Cust-6654"/>
    <s v="Aditi Sen"/>
    <x v="0"/>
    <x v="0"/>
    <x v="7"/>
    <s v="Ludhiana"/>
    <x v="2"/>
    <x v="6"/>
    <s v="Eco Copiers 954"/>
    <x v="2"/>
    <n v="4"/>
    <n v="725.22"/>
    <n v="0"/>
    <n v="2900.88"/>
    <n v="2391.85"/>
    <n v="509.03"/>
    <x v="2"/>
    <x v="2"/>
    <s v="July"/>
    <s v="OK"/>
    <s v="OK"/>
    <n v="0"/>
    <n v="1"/>
    <n v="509.0300000000002"/>
    <n v="2900.88"/>
    <n v="4"/>
    <s v="North"/>
    <s v="Clean"/>
    <s v="First Class"/>
  </r>
  <r>
    <s v="Ord-2024-10563"/>
    <x v="392"/>
    <d v="2024-05-16T00:00:00"/>
    <s v="Cust-8622"/>
    <s v="Karan Malhotra"/>
    <x v="0"/>
    <x v="0"/>
    <x v="7"/>
    <s v="Ludhiana"/>
    <x v="0"/>
    <x v="9"/>
    <s v="Elite Binders 143"/>
    <x v="1"/>
    <n v="7"/>
    <n v="121.54"/>
    <n v="0.2"/>
    <n v="680.62"/>
    <n v="463.49"/>
    <n v="217.13"/>
    <x v="3"/>
    <x v="2"/>
    <s v="May"/>
    <s v="Invalid"/>
    <s v="OK"/>
    <n v="0.2"/>
    <n v="1"/>
    <n v="217.13400000000013"/>
    <n v="680.62400000000014"/>
    <n v="-142"/>
    <s v="North"/>
    <s v="ivalid"/>
    <s v="Same Day"/>
  </r>
  <r>
    <s v="Ord-2024-10564"/>
    <x v="168"/>
    <d v="2024-05-12T00:00:00"/>
    <s v="Cust-8776"/>
    <s v="Arjun Bose"/>
    <x v="2"/>
    <x v="3"/>
    <x v="14"/>
    <s v="Panaji"/>
    <x v="1"/>
    <x v="1"/>
    <s v="Classic Tables 560"/>
    <x v="3"/>
    <n v="9"/>
    <n v="790.97"/>
    <n v="0.2"/>
    <n v="5694.98"/>
    <n v="4618.33"/>
    <n v="1076.6500000000001"/>
    <x v="2"/>
    <x v="1"/>
    <s v="May"/>
    <s v="Invalid"/>
    <s v="OK"/>
    <n v="0.2"/>
    <n v="1"/>
    <n v="1076.6540000000005"/>
    <n v="5694.9840000000004"/>
    <n v="-24"/>
    <s v="West"/>
    <s v="ivalid"/>
    <s v="Standard Class"/>
  </r>
  <r>
    <s v="Ord-2024-10565"/>
    <x v="24"/>
    <d v="2024-11-14T00:00:00"/>
    <s v="Cust-9100"/>
    <s v="Sneha Kapoor"/>
    <x v="2"/>
    <x v="2"/>
    <x v="5"/>
    <s v="Vijayawada"/>
    <x v="1"/>
    <x v="1"/>
    <s v="Basic Tables 759"/>
    <x v="2"/>
    <n v="2"/>
    <n v="921.34"/>
    <n v="0.2"/>
    <n v="1474.14"/>
    <n v="968.46"/>
    <n v="505.68"/>
    <x v="0"/>
    <x v="0"/>
    <s v="November"/>
    <s v="OK"/>
    <s v="OK"/>
    <n v="0.2"/>
    <n v="1"/>
    <n v="505.6840000000002"/>
    <n v="1474.1440000000002"/>
    <n v="34"/>
    <s v="South"/>
    <s v="Clean"/>
    <s v="First Class"/>
  </r>
  <r>
    <s v="Ord-2025-10566"/>
    <x v="380"/>
    <d v="2025-08-13T00:00:00"/>
    <s v="Cust-5601"/>
    <s v="Mira Das"/>
    <x v="2"/>
    <x v="0"/>
    <x v="18"/>
    <s v="New Delhi"/>
    <x v="2"/>
    <x v="11"/>
    <s v="Prime Phones 564"/>
    <x v="3"/>
    <n v="6"/>
    <n v="1921.86"/>
    <n v="0.2"/>
    <n v="9224.93"/>
    <n v="7005.2"/>
    <n v="2219.73"/>
    <x v="1"/>
    <x v="1"/>
    <s v="August"/>
    <s v="OK"/>
    <s v="OK"/>
    <n v="0.2"/>
    <n v="1"/>
    <n v="2219.7280000000001"/>
    <n v="9224.9279999999999"/>
    <n v="36"/>
    <s v="North"/>
    <s v="Clean"/>
    <s v="Standard Class"/>
  </r>
  <r>
    <s v="Ord-2024-10567"/>
    <x v="357"/>
    <d v="2024-08-19T00:00:00"/>
    <s v="Cust-5246"/>
    <s v="Sneha Kapoor"/>
    <x v="1"/>
    <x v="3"/>
    <x v="3"/>
    <s v="Mumbai"/>
    <x v="0"/>
    <x v="0"/>
    <s v="Smart Paper 807"/>
    <x v="1"/>
    <n v="2"/>
    <n v="2617.89"/>
    <n v="0.1"/>
    <n v="4712.2"/>
    <n v="3851.91"/>
    <n v="860.29"/>
    <x v="3"/>
    <x v="2"/>
    <s v="August"/>
    <s v="Invalid"/>
    <s v="OK"/>
    <n v="0.1"/>
    <n v="1"/>
    <n v="860.29200000000037"/>
    <n v="4712.2020000000002"/>
    <n v="-81"/>
    <s v="West"/>
    <s v="ivalid"/>
    <s v="Same Day"/>
  </r>
  <r>
    <s v="Ord-2024-10568"/>
    <x v="373"/>
    <d v="2024-02-10T00:00:00"/>
    <s v="Cust-3128"/>
    <s v="Arjun Bose"/>
    <x v="3"/>
    <x v="0"/>
    <x v="8"/>
    <s v="Noida"/>
    <x v="1"/>
    <x v="3"/>
    <s v="Pro Furnishings 108"/>
    <x v="1"/>
    <n v="1"/>
    <n v="1374.06"/>
    <n v="0.05"/>
    <n v="1305.3599999999999"/>
    <n v="731.89"/>
    <n v="573.47"/>
    <x v="0"/>
    <x v="0"/>
    <s v="February"/>
    <s v="Invalid"/>
    <s v="OK"/>
    <n v="0.05"/>
    <n v="1"/>
    <n v="573.46699999999998"/>
    <n v="1305.357"/>
    <n v="-113"/>
    <s v="North"/>
    <s v="ivalid"/>
    <s v="Same Day"/>
  </r>
  <r>
    <s v="Ord-2024-10569"/>
    <x v="265"/>
    <d v="2024-01-24T00:00:00"/>
    <s v="Cust-4604"/>
    <s v="Kabir Singh"/>
    <x v="2"/>
    <x v="0"/>
    <x v="7"/>
    <s v="Ludhiana"/>
    <x v="2"/>
    <x v="12"/>
    <s v="Classic Machines 522"/>
    <x v="1"/>
    <n v="1"/>
    <n v="3806.3"/>
    <n v="0.25"/>
    <n v="2854.73"/>
    <n v="1968.12"/>
    <n v="886.61"/>
    <x v="0"/>
    <x v="0"/>
    <s v="January"/>
    <s v="OK"/>
    <s v="OK"/>
    <n v="0.25"/>
    <n v="1"/>
    <n v="886.60500000000047"/>
    <n v="2854.7250000000004"/>
    <n v="3"/>
    <s v="North"/>
    <s v="Clean"/>
    <s v="Same Day"/>
  </r>
  <r>
    <s v="Ord-2025-10570"/>
    <x v="266"/>
    <d v="2025-09-10T00:00:00"/>
    <s v="Cust-2586"/>
    <s v="Rahul Verma"/>
    <x v="3"/>
    <x v="3"/>
    <x v="3"/>
    <s v="Mumbai"/>
    <x v="1"/>
    <x v="3"/>
    <s v="Elite Furnishings 822"/>
    <x v="3"/>
    <n v="6"/>
    <n v="3251.17"/>
    <n v="0.25"/>
    <n v="14630.26"/>
    <n v="11906.36"/>
    <n v="2723.9"/>
    <x v="1"/>
    <x v="2"/>
    <s v="September"/>
    <s v="OK"/>
    <s v="OK"/>
    <n v="0.25"/>
    <n v="1"/>
    <n v="2723.9049999999988"/>
    <n v="14630.264999999999"/>
    <n v="32"/>
    <s v="West"/>
    <s v="Clean"/>
    <s v="Standard Class"/>
  </r>
  <r>
    <s v="Ord-2025-10571"/>
    <x v="144"/>
    <d v="2025-08-22T00:00:00"/>
    <s v="Cust-6585"/>
    <s v="Arjun Bose"/>
    <x v="0"/>
    <x v="1"/>
    <x v="15"/>
    <s v="Ranchi"/>
    <x v="1"/>
    <x v="3"/>
    <s v="Max Furnishings 647"/>
    <x v="0"/>
    <n v="3"/>
    <n v="3946.44"/>
    <n v="0.25"/>
    <n v="8879.49"/>
    <n v="6344.57"/>
    <n v="2534.92"/>
    <x v="3"/>
    <x v="2"/>
    <s v="August"/>
    <s v="OK"/>
    <s v="OK"/>
    <n v="0.25"/>
    <n v="1"/>
    <n v="2534.92"/>
    <n v="8879.49"/>
    <n v="4"/>
    <s v="East"/>
    <s v="Clean"/>
    <s v="Second Class"/>
  </r>
  <r>
    <s v="Ord-2025-10572"/>
    <x v="225"/>
    <d v="2025-02-14T00:00:00"/>
    <s v="Cust-3425"/>
    <s v="Priya Menon"/>
    <x v="1"/>
    <x v="0"/>
    <x v="8"/>
    <s v="Noida"/>
    <x v="2"/>
    <x v="11"/>
    <s v="Prime Phones 895"/>
    <x v="4"/>
    <n v="5"/>
    <n v="4276.29"/>
    <n v="0"/>
    <n v="21381.45"/>
    <n v="13240.21"/>
    <n v="8141.24"/>
    <x v="3"/>
    <x v="2"/>
    <s v="February"/>
    <s v="Invalid"/>
    <s v="OK"/>
    <n v="0"/>
    <n v="2"/>
    <n v="8141.2400000000016"/>
    <n v="21381.45"/>
    <n v="-230"/>
    <s v="North"/>
    <s v="ivalid"/>
    <s v="Unknown"/>
  </r>
  <r>
    <s v="Ord-2024-10573"/>
    <x v="393"/>
    <d v="2024-01-09T00:00:00"/>
    <s v="Cust-8633"/>
    <s v="Diya Patel"/>
    <x v="2"/>
    <x v="0"/>
    <x v="18"/>
    <s v="New Delhi"/>
    <x v="2"/>
    <x v="11"/>
    <s v="Eco Phones 368"/>
    <x v="3"/>
    <n v="3"/>
    <n v="739.56"/>
    <n v="0.2"/>
    <n v="1774.94"/>
    <n v="1007.4"/>
    <n v="767.54"/>
    <x v="0"/>
    <x v="0"/>
    <s v="January"/>
    <s v="Invalid"/>
    <s v="OK"/>
    <n v="0.2"/>
    <n v="1"/>
    <n v="767.54399999999998"/>
    <n v="1774.944"/>
    <n v="-23"/>
    <s v="North"/>
    <s v="ivalid"/>
    <s v="Standard Class"/>
  </r>
  <r>
    <s v="Ord-2025-10574"/>
    <x v="394"/>
    <d v="2025-09-26T00:00:00"/>
    <s v="Cust-8243"/>
    <s v="Isha Nair"/>
    <x v="0"/>
    <x v="2"/>
    <x v="5"/>
    <s v="Vijayawada"/>
    <x v="2"/>
    <x v="11"/>
    <s v="Pro Phones 644"/>
    <x v="3"/>
    <n v="1"/>
    <n v="573.65"/>
    <n v="0"/>
    <n v="573.65"/>
    <n v="322.67"/>
    <n v="250.98"/>
    <x v="0"/>
    <x v="0"/>
    <s v="September"/>
    <s v="OK"/>
    <s v="OK"/>
    <n v="0"/>
    <n v="1"/>
    <n v="250.97999999999996"/>
    <n v="573.65"/>
    <n v="4"/>
    <s v="South"/>
    <s v="Clean"/>
    <s v="Standard Class"/>
  </r>
  <r>
    <s v="Ord-2024-10575"/>
    <x v="97"/>
    <d v="2024-02-25T00:00:00"/>
    <s v="Cust-9139"/>
    <s v="Diya Patel"/>
    <x v="3"/>
    <x v="0"/>
    <x v="7"/>
    <s v="Ludhiana"/>
    <x v="2"/>
    <x v="12"/>
    <s v="Smart Machines 566"/>
    <x v="3"/>
    <n v="4"/>
    <n v="1355.8"/>
    <n v="0"/>
    <n v="5423.2"/>
    <n v="4072.44"/>
    <n v="1350.76"/>
    <x v="0"/>
    <x v="0"/>
    <s v="February"/>
    <s v="OK"/>
    <s v="OK"/>
    <n v="0"/>
    <n v="1"/>
    <n v="1350.7599999999998"/>
    <n v="5423.2"/>
    <n v="5"/>
    <s v="North"/>
    <s v="Clean"/>
    <s v="Standard Class"/>
  </r>
  <r>
    <s v="Ord-2025-10576"/>
    <x v="395"/>
    <d v="2025-03-14T00:00:00"/>
    <s v="Cust-5496"/>
    <s v="Sneha Kapoor"/>
    <x v="3"/>
    <x v="2"/>
    <x v="13"/>
    <s v="Kochi"/>
    <x v="1"/>
    <x v="3"/>
    <s v="Elite Furnishings 173"/>
    <x v="1"/>
    <n v="4"/>
    <n v="1244.82"/>
    <n v="0.2"/>
    <n v="3983.42"/>
    <n v="3174.91"/>
    <n v="808.51"/>
    <x v="3"/>
    <x v="2"/>
    <s v="March"/>
    <s v="Invalid"/>
    <s v="OK"/>
    <n v="0.2"/>
    <n v="1"/>
    <n v="808.51400000000012"/>
    <n v="3983.424"/>
    <n v="-234"/>
    <s v="South"/>
    <s v="ivalid"/>
    <s v="Same Day"/>
  </r>
  <r>
    <s v="Ord-2024-10577"/>
    <x v="396"/>
    <d v="2024-02-23T00:00:00"/>
    <s v="Cust-2228"/>
    <s v="Rohan Mehta"/>
    <x v="3"/>
    <x v="4"/>
    <x v="9"/>
    <s v="Patna"/>
    <x v="0"/>
    <x v="9"/>
    <s v="Smart Binders 417"/>
    <x v="3"/>
    <n v="9"/>
    <n v="2614.46"/>
    <n v="0"/>
    <n v="23530.14"/>
    <n v="19537.79"/>
    <n v="3992.35"/>
    <x v="1"/>
    <x v="2"/>
    <s v="February"/>
    <s v="OK"/>
    <s v="OK"/>
    <n v="0"/>
    <n v="1"/>
    <n v="3992.3499999999985"/>
    <n v="23530.14"/>
    <n v="6"/>
    <s v="Unknown"/>
    <s v="Clean"/>
    <s v="Standard Class"/>
  </r>
  <r>
    <s v="Ord-2025-10578"/>
    <x v="63"/>
    <d v="2025-09-03T00:00:00"/>
    <s v="Cust-4151"/>
    <s v="Priya Menon"/>
    <x v="2"/>
    <x v="3"/>
    <x v="4"/>
    <s v="Indore"/>
    <x v="1"/>
    <x v="3"/>
    <s v="Smart Furnishings 714"/>
    <x v="3"/>
    <n v="7"/>
    <n v="268.45"/>
    <n v="0"/>
    <n v="1879.15"/>
    <n v="1134.9000000000001"/>
    <n v="744.25"/>
    <x v="0"/>
    <x v="0"/>
    <s v="September"/>
    <s v="OK"/>
    <s v="OK"/>
    <n v="0"/>
    <n v="1"/>
    <n v="744.24999999999977"/>
    <n v="1879.1499999999999"/>
    <n v="6"/>
    <s v="West"/>
    <s v="Clean"/>
    <s v="Standard Class"/>
  </r>
  <r>
    <s v="Ord-2024-10579"/>
    <x v="209"/>
    <d v="2024-02-23T00:00:00"/>
    <s v="Cust-4900"/>
    <s v="Neha Gupta"/>
    <x v="1"/>
    <x v="3"/>
    <x v="12"/>
    <s v="Ahmedabad"/>
    <x v="2"/>
    <x v="6"/>
    <s v="Elite Copiers 682"/>
    <x v="2"/>
    <n v="6"/>
    <n v="2633.65"/>
    <n v="0.05"/>
    <n v="15011.81"/>
    <n v="9660.36"/>
    <n v="5351.45"/>
    <x v="0"/>
    <x v="0"/>
    <s v="February"/>
    <s v="OK"/>
    <s v="OK"/>
    <n v="0.05"/>
    <n v="1"/>
    <n v="5351.4449999999997"/>
    <n v="15011.805"/>
    <n v="2"/>
    <s v="West"/>
    <s v="Clean"/>
    <s v="First Class"/>
  </r>
  <r>
    <s v="Ord-2024-10580"/>
    <x v="397"/>
    <d v="2024-06-24T00:00:00"/>
    <s v="Cust-9617"/>
    <s v="Aarav Sharma"/>
    <x v="1"/>
    <x v="2"/>
    <x v="17"/>
    <s v="Chennai"/>
    <x v="0"/>
    <x v="8"/>
    <s v="Pro Storage 482"/>
    <x v="1"/>
    <n v="1"/>
    <n v="3202.41"/>
    <n v="0"/>
    <n v="3202.41"/>
    <n v="2608.44"/>
    <n v="593.97"/>
    <x v="0"/>
    <x v="0"/>
    <s v="June"/>
    <s v="OK"/>
    <s v="OK"/>
    <n v="0"/>
    <n v="1"/>
    <n v="593.9699999999998"/>
    <n v="3202.41"/>
    <n v="5"/>
    <s v="South"/>
    <s v="Clean"/>
    <s v="Same Day"/>
  </r>
  <r>
    <s v="Ord-2025-10581"/>
    <x v="398"/>
    <d v="2025-03-13T00:00:00"/>
    <s v="Cust-7958"/>
    <s v="Kabir Singh"/>
    <x v="0"/>
    <x v="2"/>
    <x v="13"/>
    <s v="Kochi"/>
    <x v="1"/>
    <x v="4"/>
    <s v="Pro Chairs 888"/>
    <x v="3"/>
    <n v="3"/>
    <n v="163.72"/>
    <n v="0.15"/>
    <n v="417.49"/>
    <n v="261.67"/>
    <n v="155.82"/>
    <x v="3"/>
    <x v="2"/>
    <s v="March"/>
    <s v="OK"/>
    <s v="OK"/>
    <n v="0.15"/>
    <n v="1"/>
    <n v="155.81599999999997"/>
    <n v="417.48599999999999"/>
    <n v="7"/>
    <s v="South"/>
    <s v="Clean"/>
    <s v="Standard Class"/>
  </r>
  <r>
    <s v="Ord-2025-10582"/>
    <x v="215"/>
    <d v="2025-10-08T00:00:00"/>
    <s v="Cust-9931"/>
    <s v="Neha Gupta"/>
    <x v="0"/>
    <x v="0"/>
    <x v="18"/>
    <s v="New Delhi"/>
    <x v="0"/>
    <x v="2"/>
    <s v="Classic Art 611"/>
    <x v="0"/>
    <n v="4"/>
    <n v="4080.95"/>
    <n v="0"/>
    <n v="16323.8"/>
    <n v="9965.7900000000009"/>
    <n v="6358.01"/>
    <x v="1"/>
    <x v="2"/>
    <s v="October"/>
    <s v="OK"/>
    <s v="OK"/>
    <n v="0"/>
    <n v="1"/>
    <n v="6358.0099999999984"/>
    <n v="16323.8"/>
    <n v="30"/>
    <s v="North"/>
    <s v="Clean"/>
    <s v="Second Class"/>
  </r>
  <r>
    <s v="Ord-2024-10583"/>
    <x v="399"/>
    <d v="2024-10-20T00:00:00"/>
    <s v="Cust-2088"/>
    <s v="Ananya Rao"/>
    <x v="0"/>
    <x v="1"/>
    <x v="1"/>
    <s v="Bhubaneswar"/>
    <x v="0"/>
    <x v="2"/>
    <s v="Basic Art 174"/>
    <x v="2"/>
    <n v="5"/>
    <n v="671.24"/>
    <n v="0"/>
    <n v="3356.2"/>
    <n v="2205.7199999999998"/>
    <n v="1150.48"/>
    <x v="2"/>
    <x v="2"/>
    <s v="October"/>
    <s v="OK"/>
    <s v="OK"/>
    <n v="0"/>
    <n v="1"/>
    <n v="1150.48"/>
    <n v="3356.2"/>
    <n v="5"/>
    <s v="East"/>
    <s v="Clean"/>
    <s v="First Class"/>
  </r>
  <r>
    <s v="Ord-2024-10584"/>
    <x v="234"/>
    <d v="2024-02-28T00:00:00"/>
    <s v="Cust-1686"/>
    <s v="Rohan Mehta"/>
    <x v="1"/>
    <x v="1"/>
    <x v="6"/>
    <s v="Kolkata"/>
    <x v="0"/>
    <x v="8"/>
    <s v="Classic Storage 451"/>
    <x v="2"/>
    <n v="1"/>
    <n v="2626.84"/>
    <n v="0.2"/>
    <n v="2101.4699999999998"/>
    <n v="1217.83"/>
    <n v="883.64"/>
    <x v="3"/>
    <x v="2"/>
    <s v="February"/>
    <s v="Invalid"/>
    <s v="OK"/>
    <n v="0.2"/>
    <n v="1"/>
    <n v="883.64200000000028"/>
    <n v="2101.4720000000002"/>
    <n v="0"/>
    <s v="East"/>
    <s v="Clean"/>
    <s v="First Class"/>
  </r>
  <r>
    <s v="Ord-2024-10585"/>
    <x v="400"/>
    <d v="2024-08-10T00:00:00"/>
    <s v="Cust-4894"/>
    <s v="Vikram Iyer"/>
    <x v="0"/>
    <x v="1"/>
    <x v="9"/>
    <s v="Patna"/>
    <x v="0"/>
    <x v="2"/>
    <s v="Pro Art 172"/>
    <x v="1"/>
    <n v="1"/>
    <n v="984.93"/>
    <n v="0.15"/>
    <n v="837.19"/>
    <n v="583.79"/>
    <n v="253.4"/>
    <x v="2"/>
    <x v="2"/>
    <s v="August"/>
    <s v="OK"/>
    <s v="OK"/>
    <n v="0.15"/>
    <n v="1"/>
    <n v="253.40049999999997"/>
    <n v="837.19049999999993"/>
    <n v="124"/>
    <s v="East"/>
    <s v="Clean"/>
    <s v="Same Day"/>
  </r>
  <r>
    <s v="Ord-2025-10586"/>
    <x v="262"/>
    <d v="2025-06-25T00:00:00"/>
    <s v="Cust-5201"/>
    <s v="Diya Patel"/>
    <x v="1"/>
    <x v="3"/>
    <x v="3"/>
    <s v="Mumbai"/>
    <x v="2"/>
    <x v="11"/>
    <s v="Prime Phones 744"/>
    <x v="2"/>
    <n v="8"/>
    <n v="3453.66"/>
    <n v="0"/>
    <n v="27629.279999999999"/>
    <n v="22026.48"/>
    <n v="5602.8"/>
    <x v="0"/>
    <x v="0"/>
    <s v="June"/>
    <s v="OK"/>
    <s v="OK"/>
    <n v="0"/>
    <n v="1"/>
    <n v="5602.7999999999993"/>
    <n v="27629.279999999999"/>
    <n v="3"/>
    <s v="West"/>
    <s v="Clean"/>
    <s v="First Class"/>
  </r>
  <r>
    <s v="Ord-2025-10587"/>
    <x v="401"/>
    <d v="2025-04-12T00:00:00"/>
    <s v="Cust-8626"/>
    <s v="Mira Das"/>
    <x v="3"/>
    <x v="0"/>
    <x v="7"/>
    <s v="Ludhiana"/>
    <x v="0"/>
    <x v="9"/>
    <s v="Prime Binders 249"/>
    <x v="0"/>
    <n v="7"/>
    <n v="1334.2"/>
    <n v="0.2"/>
    <n v="7471.52"/>
    <n v="6184.32"/>
    <n v="1287.2"/>
    <x v="0"/>
    <x v="0"/>
    <s v="April"/>
    <s v="Invalid"/>
    <s v="OK"/>
    <n v="0.2"/>
    <n v="1"/>
    <n v="1287.2000000000007"/>
    <n v="7471.52"/>
    <n v="0"/>
    <s v="North"/>
    <s v="Clean"/>
    <s v="Second Class"/>
  </r>
  <r>
    <s v="Ord-2025-10588"/>
    <x v="402"/>
    <d v="2025-07-31T00:00:00"/>
    <s v="Cust-1013"/>
    <s v="Kabir Singh"/>
    <x v="3"/>
    <x v="3"/>
    <x v="4"/>
    <s v="Indore"/>
    <x v="2"/>
    <x v="5"/>
    <s v="Eco Accessories 948"/>
    <x v="2"/>
    <n v="1"/>
    <n v="4253.84"/>
    <n v="0.15"/>
    <n v="3615.76"/>
    <n v="2951.52"/>
    <n v="664.24"/>
    <x v="1"/>
    <x v="1"/>
    <s v="July"/>
    <s v="OK"/>
    <s v="OK"/>
    <n v="0.15"/>
    <n v="1"/>
    <n v="664.24400000000014"/>
    <n v="3615.7640000000001"/>
    <n v="8"/>
    <s v="West"/>
    <s v="Clean"/>
    <s v="First Class"/>
  </r>
  <r>
    <s v="Ord-2025-10589"/>
    <x v="395"/>
    <d v="2025-03-15T00:00:00"/>
    <s v="Cust-3601"/>
    <s v="Aarav Sharma"/>
    <x v="3"/>
    <x v="2"/>
    <x v="11"/>
    <s v="Bengaluru"/>
    <x v="2"/>
    <x v="5"/>
    <s v="Classic Accessories 458"/>
    <x v="0"/>
    <n v="8"/>
    <n v="4446.3599999999997"/>
    <n v="0.1"/>
    <n v="32013.79"/>
    <n v="20896.88"/>
    <n v="11116.91"/>
    <x v="1"/>
    <x v="1"/>
    <s v="March"/>
    <s v="Invalid"/>
    <s v="OK"/>
    <n v="0.1"/>
    <n v="1"/>
    <n v="11116.911999999997"/>
    <n v="32013.791999999998"/>
    <n v="-233"/>
    <s v="South"/>
    <s v="ivalid"/>
    <s v="Second Class"/>
  </r>
  <r>
    <s v="Ord-2024-10590"/>
    <x v="403"/>
    <d v="2024-12-12T00:00:00"/>
    <s v="Cust-7846"/>
    <s v="Rohan Mehta"/>
    <x v="2"/>
    <x v="0"/>
    <x v="8"/>
    <s v="Noida"/>
    <x v="2"/>
    <x v="11"/>
    <s v="Max Phones 318"/>
    <x v="2"/>
    <n v="3"/>
    <n v="524.75"/>
    <n v="0"/>
    <n v="1574.25"/>
    <n v="1326.12"/>
    <n v="248.13"/>
    <x v="0"/>
    <x v="0"/>
    <s v="December"/>
    <s v="OK"/>
    <s v="OK"/>
    <n v="0"/>
    <n v="1"/>
    <n v="248.13000000000011"/>
    <n v="1574.25"/>
    <n v="183"/>
    <s v="North"/>
    <s v="Clean"/>
    <s v="First Class"/>
  </r>
  <r>
    <s v="Ord-2024-10591"/>
    <x v="32"/>
    <d v="2024-05-29T00:00:00"/>
    <s v="Cust-3433"/>
    <s v="Aarav Sharma"/>
    <x v="3"/>
    <x v="0"/>
    <x v="18"/>
    <s v="New Delhi"/>
    <x v="1"/>
    <x v="4"/>
    <s v="Elite Chairs 372"/>
    <x v="1"/>
    <n v="6"/>
    <n v="3430.35"/>
    <n v="0"/>
    <n v="20582.099999999999"/>
    <n v="15897.65"/>
    <n v="4684.45"/>
    <x v="2"/>
    <x v="1"/>
    <s v="May"/>
    <s v="Invalid"/>
    <s v="OK"/>
    <n v="0"/>
    <n v="1"/>
    <n v="4684.4499999999989"/>
    <n v="20582.099999999999"/>
    <n v="0"/>
    <s v="North"/>
    <s v="Clean"/>
    <s v="Same Day"/>
  </r>
  <r>
    <s v="Ord-2024-10592"/>
    <x v="404"/>
    <d v="2024-02-24T00:00:00"/>
    <s v="Cust-2423"/>
    <s v="Sneha Kapoor"/>
    <x v="0"/>
    <x v="2"/>
    <x v="11"/>
    <s v="Bengaluru"/>
    <x v="2"/>
    <x v="6"/>
    <s v="Eco Copiers 324"/>
    <x v="2"/>
    <n v="3"/>
    <n v="3545.08"/>
    <n v="0"/>
    <n v="10635.24"/>
    <n v="6031.88"/>
    <n v="4603.3599999999997"/>
    <x v="3"/>
    <x v="2"/>
    <s v="February"/>
    <s v="OK"/>
    <s v="OK"/>
    <n v="0"/>
    <n v="1"/>
    <n v="4603.3599999999997"/>
    <n v="10635.24"/>
    <n v="2"/>
    <s v="South"/>
    <s v="Clean"/>
    <s v="First Class"/>
  </r>
  <r>
    <s v="Ord-2024-10593"/>
    <x v="129"/>
    <d v="2024-03-09T00:00:00"/>
    <s v="Cust-3559"/>
    <s v="Mira Das"/>
    <x v="0"/>
    <x v="1"/>
    <x v="6"/>
    <s v="Kolkata"/>
    <x v="2"/>
    <x v="5"/>
    <s v="Classic Accessories 131"/>
    <x v="1"/>
    <n v="8"/>
    <n v="4401.41"/>
    <n v="0.15"/>
    <n v="29929.59"/>
    <n v="22436.03"/>
    <n v="7493.56"/>
    <x v="0"/>
    <x v="0"/>
    <s v="March"/>
    <s v="OK"/>
    <s v="OK"/>
    <n v="0.15"/>
    <n v="1"/>
    <n v="7493.5580000000009"/>
    <n v="29929.588"/>
    <n v="5"/>
    <s v="East"/>
    <s v="Clean"/>
    <s v="Same Day"/>
  </r>
  <r>
    <s v="Ord-2025-10594"/>
    <x v="74"/>
    <d v="2025-09-29T00:00:00"/>
    <s v="Cust-2917"/>
    <s v="Arjun Bose"/>
    <x v="3"/>
    <x v="0"/>
    <x v="8"/>
    <s v="Noida"/>
    <x v="1"/>
    <x v="1"/>
    <s v="Eco Tables 550"/>
    <x v="0"/>
    <n v="9"/>
    <n v="4100.1099999999997"/>
    <n v="0.25"/>
    <n v="27675.74"/>
    <n v="15571.08"/>
    <n v="12104.66"/>
    <x v="0"/>
    <x v="0"/>
    <s v="September"/>
    <s v="OK"/>
    <s v="OK"/>
    <n v="0.25"/>
    <n v="1"/>
    <n v="12104.6625"/>
    <n v="27675.7425"/>
    <n v="2"/>
    <s v="North"/>
    <s v="Clean"/>
    <s v="Second Class"/>
  </r>
  <r>
    <s v="Ord-2024-10595"/>
    <x v="282"/>
    <d v="2024-09-21T00:00:00"/>
    <s v="Cust-6850"/>
    <s v="Karan Malhotra"/>
    <x v="1"/>
    <x v="1"/>
    <x v="6"/>
    <s v="Kolkata"/>
    <x v="1"/>
    <x v="4"/>
    <s v="Basic Chairs 932"/>
    <x v="2"/>
    <n v="3"/>
    <n v="3981.76"/>
    <n v="0"/>
    <n v="11945.28"/>
    <n v="9700.31"/>
    <n v="2244.9699999999998"/>
    <x v="0"/>
    <x v="0"/>
    <s v="September"/>
    <s v="OK"/>
    <s v="OK"/>
    <n v="0"/>
    <n v="1"/>
    <n v="2244.9700000000012"/>
    <n v="11945.28"/>
    <n v="2"/>
    <s v="East"/>
    <s v="Clean"/>
    <s v="First Class"/>
  </r>
  <r>
    <s v="Ord-2025-10596"/>
    <x v="405"/>
    <d v="2025-02-16T00:00:00"/>
    <s v="Cust-5566"/>
    <s v="Mira Das"/>
    <x v="2"/>
    <x v="0"/>
    <x v="8"/>
    <s v="Noida"/>
    <x v="2"/>
    <x v="11"/>
    <s v="Classic Phones 294"/>
    <x v="2"/>
    <n v="8"/>
    <n v="1825.56"/>
    <n v="0.1"/>
    <n v="13144.03"/>
    <n v="9764"/>
    <n v="3380.03"/>
    <x v="0"/>
    <x v="0"/>
    <s v="February"/>
    <s v="Invalid"/>
    <s v="OK"/>
    <n v="0.1"/>
    <n v="1"/>
    <n v="3380.0319999999992"/>
    <n v="13144.031999999999"/>
    <n v="-259"/>
    <s v="North"/>
    <s v="ivalid"/>
    <s v="First Class"/>
  </r>
  <r>
    <s v="Ord-2024-10597"/>
    <x v="406"/>
    <d v="2024-04-16T00:00:00"/>
    <s v="Cust-2593"/>
    <s v="Aditi Sen"/>
    <x v="0"/>
    <x v="2"/>
    <x v="13"/>
    <s v="Kochi"/>
    <x v="1"/>
    <x v="4"/>
    <s v="Elite Chairs 700"/>
    <x v="0"/>
    <n v="9"/>
    <n v="2723.26"/>
    <n v="0.25"/>
    <n v="18382.009999999998"/>
    <n v="13108.2"/>
    <n v="5273.81"/>
    <x v="0"/>
    <x v="0"/>
    <s v="April"/>
    <s v="Invalid"/>
    <s v="OK"/>
    <n v="0.25"/>
    <n v="1"/>
    <n v="5273.8050000000039"/>
    <n v="18382.005000000005"/>
    <n v="-171"/>
    <s v="South"/>
    <s v="ivalid"/>
    <s v="Second Class"/>
  </r>
  <r>
    <s v="Ord-2025-10598"/>
    <x v="72"/>
    <d v="2025-08-07T00:00:00"/>
    <s v="Cust-6957"/>
    <s v="Aditi Sen"/>
    <x v="0"/>
    <x v="2"/>
    <x v="2"/>
    <s v="Hyderabad"/>
    <x v="2"/>
    <x v="6"/>
    <s v="Prime Copiers 969"/>
    <x v="1"/>
    <n v="9"/>
    <n v="274.88"/>
    <n v="0.25"/>
    <n v="1855.44"/>
    <n v="1262.74"/>
    <n v="592.70000000000005"/>
    <x v="0"/>
    <x v="0"/>
    <s v="August"/>
    <s v="Invalid"/>
    <s v="OK"/>
    <n v="0.25"/>
    <n v="1"/>
    <n v="592.70000000000005"/>
    <n v="1855.44"/>
    <n v="0"/>
    <s v="South"/>
    <s v="Clean"/>
    <s v="Same Day"/>
  </r>
  <r>
    <s v="Ord-2024-10599"/>
    <x v="407"/>
    <d v="2024-08-24T00:00:00"/>
    <s v="Cust-8498"/>
    <s v="Ananya Rao"/>
    <x v="2"/>
    <x v="1"/>
    <x v="6"/>
    <s v="Kolkata"/>
    <x v="2"/>
    <x v="6"/>
    <s v="Eco Copiers 268"/>
    <x v="1"/>
    <n v="3"/>
    <n v="1490.69"/>
    <n v="0.25"/>
    <n v="3354.05"/>
    <n v="2672.67"/>
    <n v="681.38"/>
    <x v="0"/>
    <x v="0"/>
    <s v="August"/>
    <s v="OK"/>
    <s v="OK"/>
    <n v="0.25"/>
    <n v="1"/>
    <n v="681.38249999999971"/>
    <n v="3354.0524999999998"/>
    <n v="7"/>
    <s v="East"/>
    <s v="Clean"/>
    <s v="Same Day"/>
  </r>
  <r>
    <s v="Ord-2024-10600"/>
    <x v="408"/>
    <d v="2024-08-21T00:00:00"/>
    <s v="Cust-2612"/>
    <s v="Arjun Bose"/>
    <x v="0"/>
    <x v="0"/>
    <x v="7"/>
    <s v="Ludhiana"/>
    <x v="2"/>
    <x v="11"/>
    <s v="Pro Phones 588"/>
    <x v="2"/>
    <n v="3"/>
    <n v="1103.54"/>
    <n v="0.25"/>
    <n v="2482.9699999999998"/>
    <n v="1621.72"/>
    <n v="861.25"/>
    <x v="0"/>
    <x v="0"/>
    <s v="August"/>
    <s v="OK"/>
    <s v="OK"/>
    <n v="0.25"/>
    <n v="1"/>
    <n v="861.24500000000012"/>
    <n v="2482.9650000000001"/>
    <n v="2"/>
    <s v="North"/>
    <s v="Clean"/>
    <s v="First Class"/>
  </r>
  <r>
    <s v="Ord-2025-10601"/>
    <x v="222"/>
    <d v="2025-03-12T00:00:00"/>
    <s v="Cust-6013"/>
    <s v="Ananya Rao"/>
    <x v="2"/>
    <x v="3"/>
    <x v="4"/>
    <s v="Indore"/>
    <x v="0"/>
    <x v="8"/>
    <s v="Prime Storage 432"/>
    <x v="1"/>
    <n v="3"/>
    <n v="3682.75"/>
    <m/>
    <n v="11048.25"/>
    <n v="9062.7199999999993"/>
    <n v="1985.53"/>
    <x v="0"/>
    <x v="0"/>
    <s v="March"/>
    <s v="OK"/>
    <s v="OK"/>
    <n v="0"/>
    <n v="1"/>
    <n v="1985.5300000000007"/>
    <n v="11048.25"/>
    <n v="7"/>
    <s v="West"/>
    <s v="Clean"/>
    <s v="Same Day"/>
  </r>
  <r>
    <s v="Ord-2024-10602"/>
    <x v="90"/>
    <d v="2024-01-31T00:00:00"/>
    <s v="Cust-8289"/>
    <s v="Ananya Rao"/>
    <x v="3"/>
    <x v="1"/>
    <x v="6"/>
    <s v="Kolkata"/>
    <x v="0"/>
    <x v="0"/>
    <s v="Basic Paper 452"/>
    <x v="0"/>
    <n v="5"/>
    <n v="1615.03"/>
    <n v="0.2"/>
    <n v="6460.12"/>
    <n v="3604.03"/>
    <n v="2856.09"/>
    <x v="0"/>
    <x v="0"/>
    <s v="January"/>
    <s v="OK"/>
    <s v="OK"/>
    <n v="0.2"/>
    <n v="1"/>
    <n v="2856.0899999999997"/>
    <n v="6460.12"/>
    <n v="5"/>
    <s v="East"/>
    <s v="Clean"/>
    <s v="Second Class"/>
  </r>
  <r>
    <s v="Ord-2024-10603"/>
    <x v="362"/>
    <d v="2024-10-30T00:00:00"/>
    <s v="Cust-5668"/>
    <s v="Aarav Sharma"/>
    <x v="0"/>
    <x v="1"/>
    <x v="15"/>
    <s v="Ranchi"/>
    <x v="2"/>
    <x v="6"/>
    <s v="Max Copiers 477"/>
    <x v="0"/>
    <n v="9"/>
    <n v="3423.82"/>
    <n v="0.15"/>
    <n v="26192.22"/>
    <n v="20795.55"/>
    <n v="5396.67"/>
    <x v="0"/>
    <x v="0"/>
    <s v="October"/>
    <s v="OK"/>
    <s v="OK"/>
    <n v="0.15"/>
    <n v="1"/>
    <n v="5396.6730000000025"/>
    <n v="26192.223000000002"/>
    <n v="7"/>
    <s v="East"/>
    <s v="Clean"/>
    <s v="Second Class"/>
  </r>
  <r>
    <s v="Ord-2025-10604"/>
    <x v="409"/>
    <d v="2025-01-11T00:00:00"/>
    <s v="Cust-5808"/>
    <s v="Vikram Iyer"/>
    <x v="2"/>
    <x v="1"/>
    <x v="9"/>
    <s v="Patna"/>
    <x v="2"/>
    <x v="5"/>
    <s v="Prime Accessories 300"/>
    <x v="2"/>
    <n v="8"/>
    <n v="2574.29"/>
    <n v="0.05"/>
    <n v="19564.599999999999"/>
    <n v="11154.59"/>
    <n v="8410.01"/>
    <x v="2"/>
    <x v="1"/>
    <s v="January"/>
    <s v="Invalid"/>
    <s v="OK"/>
    <n v="0.05"/>
    <n v="1"/>
    <n v="8410.0139999999992"/>
    <n v="19564.603999999999"/>
    <n v="-49"/>
    <s v="East"/>
    <s v="ivalid"/>
    <s v="First Class"/>
  </r>
  <r>
    <s v="Ord-2025-10605"/>
    <x v="94"/>
    <d v="2025-06-02T00:00:00"/>
    <s v="Cust-4526"/>
    <s v="Ananya Rao"/>
    <x v="0"/>
    <x v="3"/>
    <x v="4"/>
    <s v="Indore"/>
    <x v="0"/>
    <x v="9"/>
    <s v="Max Binders 547"/>
    <x v="1"/>
    <n v="3"/>
    <n v="1076.3"/>
    <n v="0"/>
    <n v="3228.9"/>
    <n v="1853.23"/>
    <n v="1375.67"/>
    <x v="0"/>
    <x v="0"/>
    <s v="June"/>
    <s v="OK"/>
    <s v="OK"/>
    <n v="0"/>
    <n v="1"/>
    <n v="1375.6699999999996"/>
    <n v="3228.8999999999996"/>
    <n v="117"/>
    <s v="West"/>
    <s v="Clean"/>
    <s v="Same Day"/>
  </r>
  <r>
    <s v="Ord-2025-10606"/>
    <x v="9"/>
    <d v="2025-07-13T00:00:00"/>
    <s v="Cust-4447"/>
    <s v="Kabir Singh"/>
    <x v="2"/>
    <x v="3"/>
    <x v="14"/>
    <s v="Panaji"/>
    <x v="1"/>
    <x v="3"/>
    <s v="Pro Furnishings 267"/>
    <x v="0"/>
    <n v="5"/>
    <n v="1680.01"/>
    <n v="0.85"/>
    <n v="7560.04"/>
    <n v="6448.05"/>
    <n v="1111.99"/>
    <x v="0"/>
    <x v="1"/>
    <s v="July"/>
    <s v="Invalid"/>
    <s v="OK"/>
    <n v="0.85"/>
    <n v="1"/>
    <n v="-5188.0424999999996"/>
    <n v="1260.0075000000002"/>
    <n v="-56"/>
    <s v="West"/>
    <s v="ivalid"/>
    <s v="Second Class"/>
  </r>
  <r>
    <s v="Ord-2025-10607"/>
    <x v="410"/>
    <d v="2025-02-28T00:00:00"/>
    <s v="Cust-2698"/>
    <s v="Rahul Verma"/>
    <x v="3"/>
    <x v="3"/>
    <x v="4"/>
    <s v="Indore"/>
    <x v="2"/>
    <x v="6"/>
    <s v="Max Copiers 520"/>
    <x v="1"/>
    <n v="3"/>
    <n v="3890.81"/>
    <n v="0.25"/>
    <n v="8754.32"/>
    <n v="6238.9"/>
    <n v="2515.42"/>
    <x v="0"/>
    <x v="0"/>
    <s v="February"/>
    <s v="OK"/>
    <s v="OK"/>
    <n v="0.25"/>
    <n v="1"/>
    <n v="2515.4225000000006"/>
    <n v="8754.3225000000002"/>
    <n v="6"/>
    <s v="West"/>
    <s v="Clean"/>
    <s v="Same Day"/>
  </r>
  <r>
    <s v="Ord-2025-10608"/>
    <x v="411"/>
    <d v="2025-02-22T00:00:00"/>
    <s v="Cust-6297"/>
    <s v="Sneha Kapoor"/>
    <x v="3"/>
    <x v="1"/>
    <x v="9"/>
    <s v="Patna"/>
    <x v="0"/>
    <x v="8"/>
    <s v="Max Storage 424"/>
    <x v="1"/>
    <n v="5"/>
    <n v="954.67"/>
    <n v="0.15"/>
    <n v="4057.35"/>
    <n v="2862.03"/>
    <n v="1195.32"/>
    <x v="0"/>
    <x v="0"/>
    <s v="February"/>
    <s v="OK"/>
    <s v="OK"/>
    <n v="0.15"/>
    <n v="1"/>
    <n v="1195.3174999999992"/>
    <n v="4057.3474999999994"/>
    <n v="6"/>
    <s v="East"/>
    <s v="Clean"/>
    <s v="Same Day"/>
  </r>
  <r>
    <s v="Ord-2024-10609"/>
    <x v="217"/>
    <d v="2024-06-23T00:00:00"/>
    <s v="Cust-7690"/>
    <s v="Karan Malhotra"/>
    <x v="3"/>
    <x v="3"/>
    <x v="14"/>
    <s v="Panaji"/>
    <x v="1"/>
    <x v="3"/>
    <s v="Elite Furnishings 706"/>
    <x v="0"/>
    <n v="9"/>
    <n v="2153.75"/>
    <n v="0"/>
    <n v="19383.75"/>
    <n v="11667.43"/>
    <n v="7716.32"/>
    <x v="0"/>
    <x v="0"/>
    <s v="June"/>
    <s v="OK"/>
    <s v="OK"/>
    <n v="0"/>
    <n v="1"/>
    <n v="7716.32"/>
    <n v="19383.75"/>
    <n v="2"/>
    <s v="West"/>
    <s v="Clean"/>
    <s v="Second Class"/>
  </r>
  <r>
    <s v="Ord-2025-10610"/>
    <x v="302"/>
    <d v="2025-01-12T00:00:00"/>
    <s v="Cust-4380"/>
    <s v="Sneha Kapoor"/>
    <x v="3"/>
    <x v="2"/>
    <x v="11"/>
    <s v="Bengaluru"/>
    <x v="1"/>
    <x v="4"/>
    <s v="Pro Chairs 908"/>
    <x v="3"/>
    <n v="7"/>
    <n v="4337.4799999999996"/>
    <n v="0"/>
    <n v="30362.36"/>
    <n v="25065.4"/>
    <n v="5296.96"/>
    <x v="0"/>
    <x v="0"/>
    <s v="January"/>
    <s v="Invalid"/>
    <s v="OK"/>
    <n v="0"/>
    <n v="1"/>
    <n v="5296.9599999999955"/>
    <n v="30362.359999999997"/>
    <n v="-201"/>
    <s v="South"/>
    <s v="ivalid"/>
    <s v="Standard Class"/>
  </r>
  <r>
    <s v="Ord-2024-10611"/>
    <x v="412"/>
    <d v="2024-05-20T00:00:00"/>
    <s v="Cust-2779"/>
    <s v="Karan Malhotra"/>
    <x v="3"/>
    <x v="3"/>
    <x v="4"/>
    <s v="Indore"/>
    <x v="1"/>
    <x v="4"/>
    <s v="Pro Chairs 712"/>
    <x v="3"/>
    <n v="1"/>
    <n v="3032.95"/>
    <n v="0.1"/>
    <n v="2729.65"/>
    <n v="1715.36"/>
    <n v="1014.29"/>
    <x v="0"/>
    <x v="0"/>
    <s v="May"/>
    <s v="Invalid"/>
    <s v="OK"/>
    <n v="0.1"/>
    <n v="1"/>
    <n v="1014.2949999999998"/>
    <n v="2729.6549999999997"/>
    <n v="0"/>
    <s v="West"/>
    <s v="Clean"/>
    <s v="Standard Class"/>
  </r>
  <r>
    <s v="Ord-2025-10612"/>
    <x v="380"/>
    <d v="2025-07-15T00:00:00"/>
    <s v="Cust-6108"/>
    <s v="Ananya Rao"/>
    <x v="1"/>
    <x v="0"/>
    <x v="0"/>
    <s v="Jaipur"/>
    <x v="0"/>
    <x v="9"/>
    <s v="Max Binders 785"/>
    <x v="1"/>
    <n v="8"/>
    <n v="655.28"/>
    <n v="0.1"/>
    <n v="4718.0200000000004"/>
    <n v="3908.23"/>
    <n v="809.79"/>
    <x v="0"/>
    <x v="0"/>
    <s v="July"/>
    <s v="OK"/>
    <s v="OK"/>
    <n v="0.1"/>
    <n v="1"/>
    <n v="809.7859999999996"/>
    <n v="4718.0159999999996"/>
    <n v="7"/>
    <s v="North"/>
    <s v="Clean"/>
    <s v="Same Day"/>
  </r>
  <r>
    <s v="Ord-2025-10613"/>
    <x v="210"/>
    <d v="2025-04-13T00:00:00"/>
    <s v="Cust-5663"/>
    <s v="Aditi Sen"/>
    <x v="0"/>
    <x v="4"/>
    <x v="1"/>
    <s v="Bhubaneswar"/>
    <x v="2"/>
    <x v="11"/>
    <s v="Elite Phones 239"/>
    <x v="3"/>
    <n v="1"/>
    <n v="3844.01"/>
    <n v="0"/>
    <n v="3844.01"/>
    <n v="2195.79"/>
    <n v="1648.22"/>
    <x v="0"/>
    <x v="0"/>
    <s v="April"/>
    <s v="Invalid"/>
    <s v="OK"/>
    <n v="0"/>
    <n v="1"/>
    <n v="1648.2200000000003"/>
    <n v="3844.01"/>
    <n v="-52"/>
    <s v="Unknown"/>
    <s v="ivalid"/>
    <s v="Standard Class"/>
  </r>
  <r>
    <s v="Ord-2024-10614"/>
    <x v="330"/>
    <d v="2024-10-10T00:00:00"/>
    <s v="Cust-9311"/>
    <s v="Diya Patel"/>
    <x v="3"/>
    <x v="3"/>
    <x v="12"/>
    <s v="Ahmedabad"/>
    <x v="2"/>
    <x v="12"/>
    <s v="Basic Machines 413"/>
    <x v="1"/>
    <n v="9"/>
    <n v="3361.3"/>
    <n v="0.25"/>
    <n v="22688.78"/>
    <n v="14672.41"/>
    <n v="8016.37"/>
    <x v="0"/>
    <x v="0"/>
    <s v="October"/>
    <s v="OK"/>
    <s v="OK"/>
    <n v="0.25"/>
    <n v="1"/>
    <n v="8016.3650000000016"/>
    <n v="22688.775000000001"/>
    <n v="153"/>
    <s v="West"/>
    <s v="Clean"/>
    <s v="Same Day"/>
  </r>
  <r>
    <s v="Ord-2024-10615"/>
    <x v="198"/>
    <d v="2024-02-19T00:00:00"/>
    <s v="Cust-8154"/>
    <s v="Ananya Rao"/>
    <x v="3"/>
    <x v="2"/>
    <x v="2"/>
    <s v="Hyderabad"/>
    <x v="1"/>
    <x v="4"/>
    <s v="Elite Chairs 140"/>
    <x v="3"/>
    <n v="8"/>
    <n v="3398.32"/>
    <n v="0.25"/>
    <n v="20389.919999999998"/>
    <n v="16661.080000000002"/>
    <n v="3728.84"/>
    <x v="1"/>
    <x v="1"/>
    <s v="February"/>
    <s v="OK"/>
    <s v="OK"/>
    <n v="0.25"/>
    <n v="1"/>
    <n v="3728.84"/>
    <n v="20389.920000000002"/>
    <n v="8"/>
    <s v="South"/>
    <s v="Clean"/>
    <s v="Standard Class"/>
  </r>
  <r>
    <s v="Ord-2024-10616"/>
    <x v="413"/>
    <d v="2024-07-10T00:00:00"/>
    <s v="Cust-4462"/>
    <s v="Rahul Verma"/>
    <x v="2"/>
    <x v="2"/>
    <x v="13"/>
    <s v="Kochi"/>
    <x v="0"/>
    <x v="2"/>
    <s v="Basic Art 771"/>
    <x v="0"/>
    <n v="2"/>
    <n v="3144.38"/>
    <n v="0.1"/>
    <n v="5904.57"/>
    <n v="4337.79"/>
    <n v="1322.09"/>
    <x v="0"/>
    <x v="0"/>
    <s v="July"/>
    <s v="OK"/>
    <s v="OK"/>
    <n v="0.1"/>
    <n v="1"/>
    <n v="1322.0940000000001"/>
    <n v="5659.884"/>
    <n v="91"/>
    <s v="South"/>
    <s v="Clean"/>
    <s v="Second Class"/>
  </r>
  <r>
    <s v="Ord-2024-10617"/>
    <x v="414"/>
    <d v="2024-08-19T00:00:00"/>
    <s v="Cust-4660"/>
    <s v="Kabir Singh"/>
    <x v="0"/>
    <x v="2"/>
    <x v="2"/>
    <s v="Hyderabad"/>
    <x v="0"/>
    <x v="0"/>
    <s v="Prime Paper 664"/>
    <x v="3"/>
    <n v="6"/>
    <n v="3925.55"/>
    <n v="0.2"/>
    <n v="18842.64"/>
    <n v="11840.58"/>
    <n v="7002.06"/>
    <x v="0"/>
    <x v="0"/>
    <s v="August"/>
    <s v="OK"/>
    <s v="OK"/>
    <n v="0.2"/>
    <n v="1"/>
    <n v="7002.0600000000031"/>
    <n v="18842.640000000003"/>
    <n v="3"/>
    <s v="South"/>
    <s v="Clean"/>
    <s v="Standard Class"/>
  </r>
  <r>
    <s v="Ord-2024-10618"/>
    <x v="415"/>
    <d v="2024-09-30T00:00:00"/>
    <s v="Cust-9002"/>
    <s v="Mira Das"/>
    <x v="3"/>
    <x v="2"/>
    <x v="2"/>
    <s v="Hyderabad"/>
    <x v="2"/>
    <x v="11"/>
    <s v="Pro Phones 226"/>
    <x v="3"/>
    <n v="9"/>
    <n v="2741.91"/>
    <n v="0"/>
    <n v="24677.19"/>
    <n v="20350.849999999999"/>
    <n v="4326.34"/>
    <x v="0"/>
    <x v="0"/>
    <s v="September"/>
    <s v="OK"/>
    <s v="OK"/>
    <n v="0"/>
    <n v="1"/>
    <n v="4326.34"/>
    <n v="24677.19"/>
    <n v="1"/>
    <s v="South"/>
    <s v="Clean"/>
    <s v="Standard Class"/>
  </r>
  <r>
    <s v="Ord-2024-10619"/>
    <x v="416"/>
    <d v="2024-07-30T00:00:00"/>
    <s v="Cust-1057"/>
    <s v="Kabir Singh"/>
    <x v="2"/>
    <x v="0"/>
    <x v="0"/>
    <s v="Jaipur"/>
    <x v="1"/>
    <x v="1"/>
    <s v="Basic Tables 684"/>
    <x v="1"/>
    <n v="9"/>
    <n v="1870.11"/>
    <n v="0.25"/>
    <n v="12623.24"/>
    <n v="10540.8"/>
    <n v="2082.44"/>
    <x v="3"/>
    <x v="1"/>
    <s v="July"/>
    <s v="OK"/>
    <s v="OK"/>
    <n v="0.25"/>
    <n v="1"/>
    <n v="2082.4424999999992"/>
    <n v="12623.242499999998"/>
    <n v="7"/>
    <s v="North"/>
    <s v="Clean"/>
    <s v="Same Day"/>
  </r>
  <r>
    <s v="Ord-2024-10620"/>
    <x v="30"/>
    <d v="2024-11-27T00:00:00"/>
    <s v="Cust-9596"/>
    <s v="Priya Menon"/>
    <x v="2"/>
    <x v="2"/>
    <x v="17"/>
    <s v="Chennai"/>
    <x v="0"/>
    <x v="9"/>
    <s v="Prime Binders 938"/>
    <x v="2"/>
    <n v="1"/>
    <n v="4251.26"/>
    <n v="0.2"/>
    <n v="3401.01"/>
    <n v="2917.54"/>
    <n v="483.47"/>
    <x v="1"/>
    <x v="2"/>
    <s v="November"/>
    <s v="OK"/>
    <s v="OK"/>
    <n v="0.2"/>
    <n v="1"/>
    <n v="483.4680000000003"/>
    <n v="3401.0080000000003"/>
    <n v="5"/>
    <s v="South"/>
    <s v="Clean"/>
    <s v="First Class"/>
  </r>
  <r>
    <s v="Ord-2024-10621"/>
    <x v="227"/>
    <d v="2024-08-21T00:00:00"/>
    <s v="Cust-6947"/>
    <s v="Vikram Iyer"/>
    <x v="0"/>
    <x v="0"/>
    <x v="8"/>
    <s v="Noida"/>
    <x v="2"/>
    <x v="12"/>
    <s v="Classic Machines 337"/>
    <x v="3"/>
    <n v="9"/>
    <n v="734.34"/>
    <n v="0"/>
    <n v="6609.06"/>
    <n v="4946.78"/>
    <n v="1662.28"/>
    <x v="0"/>
    <x v="0"/>
    <s v="August"/>
    <s v="OK"/>
    <s v="OK"/>
    <n v="0"/>
    <n v="1"/>
    <n v="1662.2800000000007"/>
    <n v="6609.06"/>
    <n v="3"/>
    <s v="North"/>
    <s v="Clean"/>
    <s v="Standard Class"/>
  </r>
  <r>
    <s v="Ord-2024-10622"/>
    <x v="3"/>
    <d v="2024-12-06T00:00:00"/>
    <s v="Cust-7236"/>
    <s v="Aditi Sen"/>
    <x v="0"/>
    <x v="3"/>
    <x v="3"/>
    <s v="Mumbai"/>
    <x v="1"/>
    <x v="4"/>
    <s v="Max Chairs 748"/>
    <x v="1"/>
    <n v="5"/>
    <n v="1092.8399999999999"/>
    <m/>
    <n v="5464.2"/>
    <n v="3318.09"/>
    <n v="2146.11"/>
    <x v="0"/>
    <x v="0"/>
    <s v="December"/>
    <s v="OK"/>
    <s v="OK"/>
    <n v="0"/>
    <n v="1"/>
    <n v="2146.1099999999997"/>
    <n v="5464.2"/>
    <n v="8"/>
    <s v="West"/>
    <s v="Clean"/>
    <s v="Same Day"/>
  </r>
  <r>
    <s v="Ord-2025-10623"/>
    <x v="303"/>
    <d v="2025-02-06T00:00:00"/>
    <s v="Cust-1127"/>
    <s v="Vikram Iyer"/>
    <x v="0"/>
    <x v="1"/>
    <x v="9"/>
    <s v="Patna"/>
    <x v="0"/>
    <x v="8"/>
    <s v="Basic Storage 934"/>
    <x v="3"/>
    <n v="4"/>
    <n v="2759.01"/>
    <n v="0.05"/>
    <n v="10484.24"/>
    <n v="6680.15"/>
    <n v="3804.09"/>
    <x v="0"/>
    <x v="0"/>
    <s v="February"/>
    <s v="OK"/>
    <s v="OK"/>
    <n v="0.05"/>
    <n v="1"/>
    <n v="3804.0880000000016"/>
    <n v="10484.238000000001"/>
    <n v="8"/>
    <s v="East"/>
    <s v="Clean"/>
    <s v="Standard Class"/>
  </r>
  <r>
    <s v="Ord-2024-10624"/>
    <x v="417"/>
    <d v="2024-08-14T00:00:00"/>
    <s v="Cust-6262"/>
    <s v="Vikram Iyer"/>
    <x v="3"/>
    <x v="0"/>
    <x v="7"/>
    <s v="Ludhiana"/>
    <x v="0"/>
    <x v="8"/>
    <s v="Pro Storage 509"/>
    <x v="0"/>
    <n v="8"/>
    <n v="1359.19"/>
    <n v="0.05"/>
    <n v="10329.84"/>
    <n v="7512.22"/>
    <n v="2817.62"/>
    <x v="0"/>
    <x v="0"/>
    <s v="August"/>
    <s v="OK"/>
    <s v="OK"/>
    <n v="0.05"/>
    <n v="1"/>
    <n v="2817.6239999999989"/>
    <n v="10329.843999999999"/>
    <n v="6"/>
    <s v="North"/>
    <s v="Clean"/>
    <s v="Second Class"/>
  </r>
  <r>
    <s v="Ord-2024-10625"/>
    <x v="128"/>
    <d v="2024-02-01T00:00:00"/>
    <s v="Cust-5070"/>
    <s v="Neha Gupta"/>
    <x v="3"/>
    <x v="1"/>
    <x v="10"/>
    <s v="Guwahati"/>
    <x v="1"/>
    <x v="4"/>
    <s v="Prime Chairs 765"/>
    <x v="2"/>
    <n v="2"/>
    <n v="4451.03"/>
    <n v="0.05"/>
    <n v="8456.9599999999991"/>
    <n v="5462.85"/>
    <n v="2994.11"/>
    <x v="0"/>
    <x v="0"/>
    <s v="February"/>
    <s v="OK"/>
    <s v="OK"/>
    <n v="0.05"/>
    <n v="1"/>
    <n v="2994.1069999999982"/>
    <n v="8456.9569999999985"/>
    <n v="2"/>
    <s v="East"/>
    <s v="Clean"/>
    <s v="First Class"/>
  </r>
  <r>
    <s v="Ord-2024-10626"/>
    <x v="359"/>
    <d v="2024-12-21T00:00:00"/>
    <s v="Cust-7946"/>
    <s v="Diya Patel"/>
    <x v="2"/>
    <x v="3"/>
    <x v="0"/>
    <s v="Udaipur"/>
    <x v="1"/>
    <x v="4"/>
    <s v="Elite Chairs 358"/>
    <x v="1"/>
    <n v="3"/>
    <n v="527.66999999999996"/>
    <n v="0.2"/>
    <n v="1266.4100000000001"/>
    <n v="983.92"/>
    <n v="282.49"/>
    <x v="0"/>
    <x v="0"/>
    <s v="December"/>
    <s v="OK"/>
    <s v="OK"/>
    <n v="0.2"/>
    <n v="1"/>
    <n v="282.48799999999994"/>
    <n v="1266.4079999999999"/>
    <n v="6"/>
    <s v="West"/>
    <s v="Clean"/>
    <s v="Same Day"/>
  </r>
  <r>
    <s v="Ord-2025-10627"/>
    <x v="210"/>
    <d v="2025-07-06T00:00:00"/>
    <s v="Cust-1793"/>
    <s v="Sneha Kapoor"/>
    <x v="3"/>
    <x v="1"/>
    <x v="10"/>
    <s v="Guwahati"/>
    <x v="2"/>
    <x v="12"/>
    <s v="Elite Machines 971"/>
    <x v="3"/>
    <n v="8"/>
    <n v="1434.13"/>
    <n v="0"/>
    <n v="11473.04"/>
    <n v="8931.33"/>
    <n v="2541.71"/>
    <x v="2"/>
    <x v="2"/>
    <s v="July"/>
    <s v="OK"/>
    <s v="OK"/>
    <n v="0"/>
    <n v="1"/>
    <n v="2541.7100000000009"/>
    <n v="11473.04"/>
    <n v="32"/>
    <s v="East"/>
    <s v="Clean"/>
    <s v="Standard Class"/>
  </r>
  <r>
    <s v="Ord-2025-10628"/>
    <x v="228"/>
    <d v="2025-02-21T00:00:00"/>
    <s v="Cust-8839"/>
    <s v="Karan Malhotra"/>
    <x v="1"/>
    <x v="2"/>
    <x v="13"/>
    <s v="Kochi"/>
    <x v="2"/>
    <x v="11"/>
    <s v="Max Phones 825"/>
    <x v="0"/>
    <n v="2"/>
    <n v="2360.02"/>
    <n v="0.15"/>
    <n v="4012.03"/>
    <n v="3142.92"/>
    <n v="869.11"/>
    <x v="2"/>
    <x v="1"/>
    <s v="February"/>
    <s v="OK"/>
    <s v="OK"/>
    <n v="0.15"/>
    <n v="1"/>
    <n v="869.11399999999958"/>
    <n v="4012.0339999999997"/>
    <n v="8"/>
    <s v="South"/>
    <s v="Clean"/>
    <s v="Second Class"/>
  </r>
  <r>
    <s v="Ord-2025-10629"/>
    <x v="375"/>
    <d v="2025-10-12T00:00:00"/>
    <s v="Cust-6725"/>
    <s v="Ananya Rao"/>
    <x v="3"/>
    <x v="1"/>
    <x v="15"/>
    <s v="Ranchi"/>
    <x v="2"/>
    <x v="5"/>
    <s v="Eco Accessories 933"/>
    <x v="1"/>
    <n v="7"/>
    <n v="806.67"/>
    <n v="0.05"/>
    <n v="5364.36"/>
    <n v="4391.29"/>
    <n v="973.07"/>
    <x v="0"/>
    <x v="0"/>
    <s v="October"/>
    <s v="OK"/>
    <s v="OK"/>
    <n v="0.05"/>
    <n v="1"/>
    <n v="973.0654999999997"/>
    <n v="5364.3554999999997"/>
    <n v="155"/>
    <s v="East"/>
    <s v="Clean"/>
    <s v="Same Day"/>
  </r>
  <r>
    <s v="Ord-2025-10630"/>
    <x v="418"/>
    <d v="2025-09-14T00:00:00"/>
    <s v="Cust-3793"/>
    <s v="Arjun Bose"/>
    <x v="3"/>
    <x v="3"/>
    <x v="12"/>
    <s v="Ahmedabad"/>
    <x v="1"/>
    <x v="1"/>
    <s v="Max Tables 908"/>
    <x v="1"/>
    <n v="3"/>
    <n v="4198.46"/>
    <n v="0.15"/>
    <n v="10706.07"/>
    <n v="5927.1"/>
    <n v="4778.97"/>
    <x v="0"/>
    <x v="0"/>
    <s v="September"/>
    <s v="Invalid"/>
    <s v="OK"/>
    <n v="0.15"/>
    <n v="1"/>
    <n v="4778.973"/>
    <n v="10706.073"/>
    <n v="-25"/>
    <s v="West"/>
    <s v="ivalid"/>
    <s v="Same Day"/>
  </r>
  <r>
    <s v="Ord-2024-10631"/>
    <x v="65"/>
    <d v="2024-04-10T00:00:00"/>
    <s v="Cust-6075"/>
    <s v="Priya Menon"/>
    <x v="2"/>
    <x v="1"/>
    <x v="10"/>
    <s v="Guwahati"/>
    <x v="0"/>
    <x v="0"/>
    <s v="Elite Paper 239"/>
    <x v="3"/>
    <n v="4"/>
    <n v="3047.05"/>
    <n v="0.1"/>
    <n v="10969.38"/>
    <n v="9254.4599999999991"/>
    <n v="1714.92"/>
    <x v="0"/>
    <x v="0"/>
    <s v="April"/>
    <s v="Invalid"/>
    <s v="OK"/>
    <n v="0.1"/>
    <n v="1"/>
    <n v="1714.9200000000019"/>
    <n v="10969.380000000001"/>
    <n v="-147"/>
    <s v="East"/>
    <s v="ivalid"/>
    <s v="Standard Class"/>
  </r>
  <r>
    <s v="Ord-2024-10632"/>
    <x v="406"/>
    <d v="2024-04-15T00:00:00"/>
    <s v="Cust-6381"/>
    <s v="Aarav Sharma"/>
    <x v="3"/>
    <x v="3"/>
    <x v="0"/>
    <s v="Udaipur"/>
    <x v="1"/>
    <x v="4"/>
    <s v="Eco Chairs 452"/>
    <x v="3"/>
    <n v="8"/>
    <n v="4362.4799999999996"/>
    <n v="0.1"/>
    <n v="31409.86"/>
    <n v="22523.54"/>
    <n v="8886.32"/>
    <x v="0"/>
    <x v="0"/>
    <s v="April"/>
    <s v="Invalid"/>
    <s v="OK"/>
    <n v="0.1"/>
    <n v="1"/>
    <n v="8886.3159999999953"/>
    <n v="31409.855999999996"/>
    <n v="-172"/>
    <s v="West"/>
    <s v="ivalid"/>
    <s v="Standard Class"/>
  </r>
  <r>
    <s v="Ord-2025-10633"/>
    <x v="360"/>
    <d v="2025-04-16T00:00:00"/>
    <s v="Cust-4593"/>
    <s v="Sneha Kapoor"/>
    <x v="1"/>
    <x v="2"/>
    <x v="11"/>
    <s v="Bengaluru"/>
    <x v="1"/>
    <x v="3"/>
    <s v="Smart Furnishings 721"/>
    <x v="2"/>
    <n v="5"/>
    <n v="2850.53"/>
    <n v="0"/>
    <n v="14252.65"/>
    <n v="11558.31"/>
    <n v="2694.34"/>
    <x v="0"/>
    <x v="0"/>
    <s v="April"/>
    <s v="OK"/>
    <s v="OK"/>
    <n v="0"/>
    <n v="1"/>
    <n v="2694.340000000002"/>
    <n v="14252.650000000001"/>
    <n v="1"/>
    <s v="South"/>
    <s v="Clean"/>
    <s v="First Class"/>
  </r>
  <r>
    <s v="Ord-2025-10634"/>
    <x v="419"/>
    <d v="2025-04-20T00:00:00"/>
    <s v="Cust-5043"/>
    <s v="Aarav Sharma"/>
    <x v="1"/>
    <x v="2"/>
    <x v="17"/>
    <s v="Chennai"/>
    <x v="2"/>
    <x v="5"/>
    <s v="Basic Accessories 729"/>
    <x v="0"/>
    <n v="1"/>
    <n v="1626.08"/>
    <n v="0.15"/>
    <n v="1382.17"/>
    <n v="810.03"/>
    <n v="572.14"/>
    <x v="0"/>
    <x v="0"/>
    <s v="April"/>
    <s v="OK"/>
    <s v="OK"/>
    <n v="0.15"/>
    <n v="1"/>
    <n v="572.13799999999992"/>
    <n v="1382.1679999999999"/>
    <n v="2"/>
    <s v="South"/>
    <s v="Clean"/>
    <s v="Second Class"/>
  </r>
  <r>
    <s v="Ord-2025-10635"/>
    <x v="420"/>
    <d v="2025-01-12T00:00:00"/>
    <s v="Cust-4722"/>
    <s v="Aditi Sen"/>
    <x v="0"/>
    <x v="2"/>
    <x v="2"/>
    <s v="Hyderabad"/>
    <x v="1"/>
    <x v="4"/>
    <s v="Classic Chairs 220"/>
    <x v="0"/>
    <n v="4"/>
    <n v="2427.15"/>
    <n v="0.05"/>
    <n v="9223.17"/>
    <n v="5103.7"/>
    <n v="4119.47"/>
    <x v="0"/>
    <x v="0"/>
    <s v="January"/>
    <s v="Invalid"/>
    <s v="OK"/>
    <n v="0.05"/>
    <n v="1"/>
    <n v="4119.47"/>
    <n v="9223.17"/>
    <n v="-293"/>
    <s v="South"/>
    <s v="ivalid"/>
    <s v="Second Class"/>
  </r>
  <r>
    <s v="Ord-2024-10636"/>
    <x v="412"/>
    <d v="2024-05-25T00:00:00"/>
    <s v="Cust-7931"/>
    <s v="Mira Das"/>
    <x v="2"/>
    <x v="2"/>
    <x v="5"/>
    <s v="Vijayawada"/>
    <x v="1"/>
    <x v="4"/>
    <s v="Max Chairs 305"/>
    <x v="1"/>
    <n v="7"/>
    <n v="3122.85"/>
    <n v="0.25"/>
    <n v="16394.96"/>
    <n v="10404.17"/>
    <n v="5990.79"/>
    <x v="0"/>
    <x v="0"/>
    <s v="May"/>
    <s v="OK"/>
    <s v="OK"/>
    <n v="0.25"/>
    <n v="1"/>
    <n v="5990.7925000000014"/>
    <n v="16394.962500000001"/>
    <n v="5"/>
    <s v="South"/>
    <s v="Clean"/>
    <s v="Same Day"/>
  </r>
  <r>
    <s v="Ord-2024-10637"/>
    <x v="421"/>
    <d v="2024-10-09T00:00:00"/>
    <s v="Cust-7221"/>
    <s v="Ananya Rao"/>
    <x v="0"/>
    <x v="2"/>
    <x v="17"/>
    <s v="Chennai"/>
    <x v="0"/>
    <x v="0"/>
    <s v="Smart Paper 872"/>
    <x v="3"/>
    <n v="8"/>
    <n v="1910.31"/>
    <n v="0.15"/>
    <n v="12990.11"/>
    <n v="10200.799999999999"/>
    <n v="2789.31"/>
    <x v="0"/>
    <x v="0"/>
    <s v="October"/>
    <s v="OK"/>
    <s v="OK"/>
    <n v="0.15"/>
    <n v="1"/>
    <n v="2789.3080000000009"/>
    <n v="12990.108"/>
    <n v="242"/>
    <s v="South"/>
    <s v="Clean"/>
    <s v="Standard Class"/>
  </r>
  <r>
    <s v="Ord-2024-10638"/>
    <x v="422"/>
    <d v="2024-05-26T00:00:00"/>
    <s v="Cust-2594"/>
    <s v="Rahul Verma"/>
    <x v="1"/>
    <x v="3"/>
    <x v="14"/>
    <s v="Panaji"/>
    <x v="2"/>
    <x v="6"/>
    <s v="Max Copiers 994"/>
    <x v="2"/>
    <n v="2"/>
    <n v="3192.47"/>
    <n v="0.2"/>
    <n v="5107.95"/>
    <n v="3133.08"/>
    <n v="1974.87"/>
    <x v="0"/>
    <x v="0"/>
    <s v="May"/>
    <s v="Invalid"/>
    <s v="OK"/>
    <n v="0.2"/>
    <n v="1"/>
    <n v="1974.8720000000003"/>
    <n v="5107.9520000000002"/>
    <n v="0"/>
    <s v="West"/>
    <s v="Clean"/>
    <s v="First Class"/>
  </r>
  <r>
    <s v="Ord-2024-10639"/>
    <x v="90"/>
    <d v="2024-01-31T00:00:00"/>
    <s v="Cust-2111"/>
    <s v="Karan Malhotra"/>
    <x v="2"/>
    <x v="2"/>
    <x v="13"/>
    <s v="Kochi"/>
    <x v="0"/>
    <x v="8"/>
    <s v="Pro Storage 744"/>
    <x v="0"/>
    <n v="3"/>
    <n v="3224.32"/>
    <n v="0.2"/>
    <n v="7738.37"/>
    <n v="4626.8500000000004"/>
    <n v="3111.52"/>
    <x v="3"/>
    <x v="2"/>
    <s v="January"/>
    <s v="OK"/>
    <s v="OK"/>
    <n v="0.2"/>
    <n v="1"/>
    <n v="3111.5180000000009"/>
    <n v="7738.3680000000013"/>
    <n v="5"/>
    <s v="South"/>
    <s v="Clean"/>
    <s v="Second Class"/>
  </r>
  <r>
    <s v="Ord-2024-10640"/>
    <x v="14"/>
    <d v="2024-12-31T00:00:00"/>
    <s v="Cust-6829"/>
    <s v="Isha Nair"/>
    <x v="1"/>
    <x v="1"/>
    <x v="1"/>
    <s v="Bhubaneswar"/>
    <x v="1"/>
    <x v="4"/>
    <s v="Elite Chairs 744"/>
    <x v="0"/>
    <n v="1"/>
    <n v="1594.7"/>
    <n v="0.05"/>
    <n v="1514.96"/>
    <n v="1046.17"/>
    <n v="468.79"/>
    <x v="0"/>
    <x v="0"/>
    <s v="December"/>
    <s v="OK"/>
    <s v="OK"/>
    <n v="0.05"/>
    <n v="1"/>
    <n v="468.79499999999985"/>
    <n v="1514.9649999999999"/>
    <n v="4"/>
    <s v="East"/>
    <s v="Clean"/>
    <s v="Second Class"/>
  </r>
  <r>
    <s v="Ord-2025-10641"/>
    <x v="423"/>
    <d v="2025-01-17T00:00:00"/>
    <s v="Cust-5061"/>
    <s v="Vikram Iyer"/>
    <x v="0"/>
    <x v="3"/>
    <x v="14"/>
    <s v="Panaji"/>
    <x v="0"/>
    <x v="8"/>
    <s v="Basic Storage 973"/>
    <x v="2"/>
    <n v="1"/>
    <n v="1584.12"/>
    <n v="0.2"/>
    <n v="1267.3"/>
    <n v="923.53"/>
    <n v="343.77"/>
    <x v="0"/>
    <x v="0"/>
    <s v="January"/>
    <s v="OK"/>
    <s v="OK"/>
    <n v="0.2"/>
    <n v="1"/>
    <n v="343.76600000000008"/>
    <n v="1267.296"/>
    <n v="3"/>
    <s v="West"/>
    <s v="Clean"/>
    <s v="First Class"/>
  </r>
  <r>
    <s v="Ord-2025-10642"/>
    <x v="424"/>
    <d v="2025-04-14T00:00:00"/>
    <s v="Cust-7915"/>
    <s v="Karan Malhotra"/>
    <x v="0"/>
    <x v="0"/>
    <x v="18"/>
    <s v="New Delhi"/>
    <x v="1"/>
    <x v="3"/>
    <s v="Smart Furnishings 783"/>
    <x v="1"/>
    <n v="2"/>
    <n v="3202.87"/>
    <n v="0"/>
    <n v="6405.74"/>
    <n v="3561.87"/>
    <n v="2843.87"/>
    <x v="0"/>
    <x v="0"/>
    <s v="April"/>
    <s v="Invalid"/>
    <s v="OK"/>
    <n v="0"/>
    <n v="1"/>
    <n v="2843.87"/>
    <n v="6405.74"/>
    <n v="-143"/>
    <s v="North"/>
    <s v="ivalid"/>
    <s v="Same Day"/>
  </r>
  <r>
    <s v="Ord-2024-10643"/>
    <x v="301"/>
    <d v="2024-08-31T00:00:00"/>
    <s v="Cust-1940"/>
    <s v="Isha Nair"/>
    <x v="3"/>
    <x v="1"/>
    <x v="10"/>
    <s v="Guwahati"/>
    <x v="0"/>
    <x v="9"/>
    <s v="Prime Binders 287"/>
    <x v="0"/>
    <n v="9"/>
    <n v="1275.21"/>
    <n v="0.25"/>
    <n v="8607.67"/>
    <n v="5337.64"/>
    <n v="3270.03"/>
    <x v="3"/>
    <x v="2"/>
    <s v="August"/>
    <s v="OK"/>
    <s v="OK"/>
    <n v="0.25"/>
    <n v="1"/>
    <n v="3270.0274999999992"/>
    <n v="8607.6674999999996"/>
    <n v="2"/>
    <s v="East"/>
    <s v="Clean"/>
    <s v="Second Class"/>
  </r>
  <r>
    <s v="Ord-2024-10644"/>
    <x v="195"/>
    <d v="2024-02-13T00:00:00"/>
    <s v="Cust-1986"/>
    <s v="Aarav Sharma"/>
    <x v="3"/>
    <x v="0"/>
    <x v="8"/>
    <s v="Noida"/>
    <x v="0"/>
    <x v="7"/>
    <s v="Elite Labels 654"/>
    <x v="3"/>
    <n v="8"/>
    <n v="3871.18"/>
    <n v="0.15"/>
    <n v="26324.02"/>
    <n v="16277.96"/>
    <n v="10046.06"/>
    <x v="3"/>
    <x v="2"/>
    <s v="February"/>
    <s v="OK"/>
    <s v="OK"/>
    <n v="0.15"/>
    <n v="1"/>
    <n v="10046.063999999998"/>
    <n v="26324.023999999998"/>
    <n v="8"/>
    <s v="North"/>
    <s v="Clean"/>
    <s v="Standard Class"/>
  </r>
  <r>
    <s v="Ord-2025-10645"/>
    <x v="6"/>
    <d v="2025-04-17T00:00:00"/>
    <s v="Cust-5549"/>
    <s v="Vikram Iyer"/>
    <x v="0"/>
    <x v="1"/>
    <x v="6"/>
    <s v="Kolkata"/>
    <x v="1"/>
    <x v="4"/>
    <s v="Pro Chairs 812"/>
    <x v="3"/>
    <n v="4"/>
    <n v="3750.02"/>
    <n v="0.05"/>
    <n v="14250.08"/>
    <n v="10914.92"/>
    <n v="3335.16"/>
    <x v="0"/>
    <x v="0"/>
    <s v="April"/>
    <s v="Invalid"/>
    <s v="OK"/>
    <n v="0.05"/>
    <n v="1"/>
    <n v="3335.155999999999"/>
    <n v="14250.075999999999"/>
    <n v="-170"/>
    <s v="East"/>
    <s v="ivalid"/>
    <s v="Standard Class"/>
  </r>
  <r>
    <s v="Ord-2024-10646"/>
    <x v="425"/>
    <d v="2024-01-09T00:00:00"/>
    <s v="Cust-2314"/>
    <s v="Kabir Singh"/>
    <x v="0"/>
    <x v="1"/>
    <x v="9"/>
    <s v="Patna"/>
    <x v="1"/>
    <x v="4"/>
    <s v="Basic Chairs 480"/>
    <x v="0"/>
    <n v="6"/>
    <n v="2423.61"/>
    <n v="0.1"/>
    <n v="13087.49"/>
    <n v="7608.89"/>
    <n v="5133.22"/>
    <x v="0"/>
    <x v="0"/>
    <s v="January"/>
    <s v="Invalid"/>
    <s v="OK"/>
    <n v="0.1"/>
    <n v="1"/>
    <n v="5478.6040000000003"/>
    <n v="13087.494000000001"/>
    <n v="-83"/>
    <s v="East"/>
    <s v="ivalid"/>
    <s v="Second Class"/>
  </r>
  <r>
    <s v="Ord-2024-10647"/>
    <x v="426"/>
    <d v="2024-09-24T00:00:00"/>
    <s v="Cust-6360"/>
    <s v="Vikram Iyer"/>
    <x v="1"/>
    <x v="1"/>
    <x v="15"/>
    <s v="Ranchi"/>
    <x v="2"/>
    <x v="12"/>
    <s v="Elite Machines 955"/>
    <x v="2"/>
    <n v="3"/>
    <n v="729.14"/>
    <n v="0.25"/>
    <n v="1640.57"/>
    <n v="1136.98"/>
    <n v="503.59"/>
    <x v="0"/>
    <x v="0"/>
    <s v="September"/>
    <s v="OK"/>
    <s v="OK"/>
    <n v="0.25"/>
    <n v="1"/>
    <n v="503.58500000000004"/>
    <n v="1640.5650000000001"/>
    <n v="6"/>
    <s v="East"/>
    <s v="Clean"/>
    <s v="First Class"/>
  </r>
  <r>
    <s v="Ord-2025-10648"/>
    <x v="213"/>
    <d v="2025-01-09T00:00:00"/>
    <s v="Cust-9942"/>
    <s v="Rohan Mehta"/>
    <x v="1"/>
    <x v="0"/>
    <x v="7"/>
    <s v="Ludhiana"/>
    <x v="0"/>
    <x v="2"/>
    <s v="Prime Art 461"/>
    <x v="2"/>
    <n v="8"/>
    <n v="2123.81"/>
    <n v="0.15"/>
    <n v="14441.91"/>
    <n v="10872.89"/>
    <n v="3569.02"/>
    <x v="0"/>
    <x v="0"/>
    <s v="January"/>
    <s v="OK"/>
    <s v="OK"/>
    <n v="0.15"/>
    <n v="1"/>
    <n v="3569.018"/>
    <n v="14441.907999999999"/>
    <n v="8"/>
    <s v="North"/>
    <s v="Clean"/>
    <s v="First Class"/>
  </r>
  <r>
    <s v="Ord-2024-10649"/>
    <x v="427"/>
    <d v="2024-04-24T00:00:00"/>
    <s v="Cust-1808"/>
    <s v="Neha Gupta"/>
    <x v="1"/>
    <x v="2"/>
    <x v="5"/>
    <s v="Vijayawada"/>
    <x v="0"/>
    <x v="2"/>
    <s v="Prime Art 301"/>
    <x v="1"/>
    <n v="9"/>
    <n v="703.59"/>
    <n v="0.2"/>
    <n v="5065.8500000000004"/>
    <n v="3517.23"/>
    <n v="1548.62"/>
    <x v="3"/>
    <x v="2"/>
    <s v="April"/>
    <s v="OK"/>
    <s v="OK"/>
    <n v="0.2"/>
    <n v="1"/>
    <n v="1548.6180000000008"/>
    <n v="5065.8480000000009"/>
    <n v="3"/>
    <s v="South"/>
    <s v="Clean"/>
    <s v="Same Day"/>
  </r>
  <r>
    <s v="Ord-2025-10650"/>
    <x v="428"/>
    <d v="2025-08-19T00:00:00"/>
    <s v="Cust-7277"/>
    <s v="Kabir Singh"/>
    <x v="1"/>
    <x v="2"/>
    <x v="13"/>
    <s v="Kochi"/>
    <x v="2"/>
    <x v="5"/>
    <s v="Classic Accessories 354"/>
    <x v="3"/>
    <n v="4"/>
    <n v="2258.96"/>
    <n v="0.25"/>
    <n v="6776.88"/>
    <n v="3836.24"/>
    <n v="2940.64"/>
    <x v="0"/>
    <x v="0"/>
    <s v="August"/>
    <s v="Invalid"/>
    <s v="OK"/>
    <n v="0.25"/>
    <n v="1"/>
    <n v="2940.6400000000003"/>
    <n v="6776.88"/>
    <n v="-81"/>
    <s v="South"/>
    <s v="ivalid"/>
    <s v="Standard Class"/>
  </r>
  <r>
    <s v="Ord-2024-10651"/>
    <x v="429"/>
    <d v="2024-04-21T00:00:00"/>
    <s v="Cust-7744"/>
    <s v="Aarav Sharma"/>
    <x v="3"/>
    <x v="1"/>
    <x v="9"/>
    <s v="Patna"/>
    <x v="2"/>
    <x v="5"/>
    <s v="Basic Accessories 210"/>
    <x v="1"/>
    <n v="7"/>
    <n v="2648.76"/>
    <n v="0.15"/>
    <n v="15760.12"/>
    <n v="9931.5300000000007"/>
    <n v="5828.59"/>
    <x v="3"/>
    <x v="2"/>
    <s v="April"/>
    <s v="OK"/>
    <s v="OK"/>
    <n v="0.15"/>
    <n v="1"/>
    <n v="5828.5919999999987"/>
    <n v="15760.121999999999"/>
    <n v="8"/>
    <s v="East"/>
    <s v="Clean"/>
    <s v="Same Day"/>
  </r>
  <r>
    <s v="Ord-2025-10652"/>
    <x v="220"/>
    <d v="2025-08-09T00:00:00"/>
    <s v="Cust-2660"/>
    <s v="Mira Das"/>
    <x v="1"/>
    <x v="2"/>
    <x v="5"/>
    <s v="Vijayawada"/>
    <x v="0"/>
    <x v="0"/>
    <s v="Smart Paper 364"/>
    <x v="0"/>
    <n v="3"/>
    <n v="598.54999999999995"/>
    <n v="0"/>
    <n v="1795.65"/>
    <n v="996.72"/>
    <n v="798.93"/>
    <x v="0"/>
    <x v="0"/>
    <s v="August"/>
    <s v="OK"/>
    <s v="OK"/>
    <n v="0"/>
    <n v="1"/>
    <n v="798.92999999999984"/>
    <n v="1795.6499999999999"/>
    <n v="62"/>
    <s v="South"/>
    <s v="Clean"/>
    <s v="Second Class"/>
  </r>
  <r>
    <s v="Ord-2025-10653"/>
    <x v="430"/>
    <d v="2025-03-21T00:00:00"/>
    <s v="Cust-8177"/>
    <s v="Sneha Kapoor"/>
    <x v="0"/>
    <x v="0"/>
    <x v="8"/>
    <s v="Noida"/>
    <x v="0"/>
    <x v="9"/>
    <s v="Smart Binders 999"/>
    <x v="3"/>
    <n v="5"/>
    <n v="4320.59"/>
    <n v="0.15"/>
    <n v="18362.509999999998"/>
    <n v="11133.97"/>
    <n v="7228.54"/>
    <x v="0"/>
    <x v="0"/>
    <s v="March"/>
    <s v="OK"/>
    <s v="OK"/>
    <n v="0.15"/>
    <n v="1"/>
    <n v="7228.5375000000004"/>
    <n v="18362.5075"/>
    <n v="4"/>
    <s v="North"/>
    <s v="Clean"/>
    <s v="Standard Class"/>
  </r>
  <r>
    <s v="Ord-2025-10654"/>
    <x v="431"/>
    <d v="2025-07-04T00:00:00"/>
    <s v="Cust-3970"/>
    <s v="Priya Menon"/>
    <x v="1"/>
    <x v="2"/>
    <x v="17"/>
    <s v="Chennai"/>
    <x v="2"/>
    <x v="6"/>
    <s v="Max Copiers 356"/>
    <x v="0"/>
    <n v="7"/>
    <n v="4457.93"/>
    <n v="0.15"/>
    <n v="26524.68"/>
    <n v="20574.3"/>
    <n v="5950.38"/>
    <x v="0"/>
    <x v="0"/>
    <s v="July"/>
    <s v="OK"/>
    <s v="OK"/>
    <n v="0.15"/>
    <n v="1"/>
    <n v="5950.3835000000036"/>
    <n v="26524.683500000003"/>
    <n v="91"/>
    <s v="South"/>
    <s v="Clean"/>
    <s v="Second Class"/>
  </r>
  <r>
    <s v="Ord-2025-10655"/>
    <x v="13"/>
    <d v="2025-10-16T00:00:00"/>
    <s v="Cust-8249"/>
    <s v="Diya Patel"/>
    <x v="2"/>
    <x v="1"/>
    <x v="9"/>
    <s v="Patna"/>
    <x v="2"/>
    <x v="12"/>
    <s v="Classic Machines 639"/>
    <x v="1"/>
    <n v="1"/>
    <n v="2570.06"/>
    <n v="0.2"/>
    <n v="2056.0500000000002"/>
    <n v="1662.39"/>
    <n v="393.66"/>
    <x v="0"/>
    <x v="0"/>
    <s v="October"/>
    <s v="Invalid"/>
    <s v="OK"/>
    <n v="0.2"/>
    <n v="1"/>
    <n v="393.65800000000013"/>
    <n v="2056.0480000000002"/>
    <n v="-55"/>
    <s v="East"/>
    <s v="ivalid"/>
    <s v="Same Day"/>
  </r>
  <r>
    <s v="Ord-2025-10656"/>
    <x v="432"/>
    <d v="2025-08-26T00:00:00"/>
    <s v="Cust-8039"/>
    <s v="Neha Gupta"/>
    <x v="3"/>
    <x v="1"/>
    <x v="6"/>
    <s v="Kolkata"/>
    <x v="1"/>
    <x v="3"/>
    <s v="Smart Furnishings 748"/>
    <x v="3"/>
    <n v="4"/>
    <n v="2151.8200000000002"/>
    <n v="0"/>
    <n v="8607.2800000000007"/>
    <n v="5124.01"/>
    <n v="3483.27"/>
    <x v="0"/>
    <x v="0"/>
    <s v="August"/>
    <s v="Invalid"/>
    <s v="OK"/>
    <n v="0"/>
    <n v="1"/>
    <n v="3483.2700000000004"/>
    <n v="8607.2800000000007"/>
    <n v="0"/>
    <s v="East"/>
    <s v="Clean"/>
    <s v="Standard Class"/>
  </r>
  <r>
    <s v="Ord-2024-10657"/>
    <x v="192"/>
    <d v="2024-05-14T00:00:00"/>
    <s v="Cust-4446"/>
    <s v="Neha Gupta"/>
    <x v="1"/>
    <x v="0"/>
    <x v="16"/>
    <s v="Gurugram"/>
    <x v="2"/>
    <x v="12"/>
    <s v="Pro Machines 589"/>
    <x v="1"/>
    <n v="4"/>
    <n v="2751.1"/>
    <n v="-0.05"/>
    <n v="9903.9599999999991"/>
    <n v="7696.28"/>
    <n v="2207.6799999999998"/>
    <x v="0"/>
    <x v="0"/>
    <s v="May"/>
    <s v="OK"/>
    <s v="Negative Discount"/>
    <n v="-0.05"/>
    <n v="1"/>
    <n v="3858.3400000000011"/>
    <n v="11554.62"/>
    <n v="7"/>
    <s v="North"/>
    <s v="ivalid"/>
    <s v="Same Day"/>
  </r>
  <r>
    <s v="Ord-2025-10658"/>
    <x v="380"/>
    <d v="2025-08-10T00:00:00"/>
    <s v="Cust-7787"/>
    <s v="Aditi Sen"/>
    <x v="3"/>
    <x v="1"/>
    <x v="9"/>
    <s v="Patna"/>
    <x v="0"/>
    <x v="8"/>
    <s v="Eco Storage 316"/>
    <x v="0"/>
    <n v="1"/>
    <n v="2541.25"/>
    <n v="0.2"/>
    <n v="2033"/>
    <n v="1291.4100000000001"/>
    <n v="741.59"/>
    <x v="0"/>
    <x v="0"/>
    <s v="August"/>
    <s v="OK"/>
    <s v="OK"/>
    <n v="0.2"/>
    <n v="1"/>
    <n v="741.58999999999992"/>
    <n v="2033"/>
    <n v="33"/>
    <s v="East"/>
    <s v="Clean"/>
    <s v="Second Class"/>
  </r>
  <r>
    <s v="Ord-2025-10659"/>
    <x v="293"/>
    <d v="2025-12-06T00:00:00"/>
    <s v="Cust-9074"/>
    <s v="Sneha Kapoor"/>
    <x v="0"/>
    <x v="4"/>
    <x v="9"/>
    <s v="Patna"/>
    <x v="0"/>
    <x v="2"/>
    <s v="Eco Art 763"/>
    <x v="2"/>
    <n v="7"/>
    <n v="2852.42"/>
    <n v="0"/>
    <n v="19966.939999999999"/>
    <n v="12690.83"/>
    <n v="7276.11"/>
    <x v="1"/>
    <x v="1"/>
    <s v="December"/>
    <s v="OK"/>
    <s v="OK"/>
    <n v="0"/>
    <n v="1"/>
    <n v="7276.1100000000024"/>
    <n v="19966.940000000002"/>
    <n v="91"/>
    <s v="Unknown"/>
    <s v="Clean"/>
    <s v="First Class"/>
  </r>
  <r>
    <s v="Ord-2025-10660"/>
    <x v="20"/>
    <d v="2025-01-22T00:00:00"/>
    <s v="Cust-8330"/>
    <s v="Diya Patel"/>
    <x v="2"/>
    <x v="2"/>
    <x v="11"/>
    <s v="Bengaluru"/>
    <x v="2"/>
    <x v="11"/>
    <s v="Pro Phones 356"/>
    <x v="0"/>
    <n v="2"/>
    <n v="444.31"/>
    <n v="0.2"/>
    <n v="710.9"/>
    <n v="513.88"/>
    <n v="197.02"/>
    <x v="1"/>
    <x v="1"/>
    <s v="January"/>
    <s v="OK"/>
    <s v="OK"/>
    <n v="0.2"/>
    <n v="1"/>
    <n v="197.01600000000008"/>
    <n v="710.89600000000007"/>
    <n v="1"/>
    <s v="South"/>
    <s v="Clean"/>
    <s v="Second Class"/>
  </r>
  <r>
    <s v="Ord-2025-10661"/>
    <x v="18"/>
    <d v="2025-07-15T00:00:00"/>
    <s v="Cust-5638"/>
    <s v="Arjun Bose"/>
    <x v="1"/>
    <x v="1"/>
    <x v="15"/>
    <s v="Ranchi"/>
    <x v="2"/>
    <x v="11"/>
    <s v="Basic Phones 865"/>
    <x v="1"/>
    <n v="4"/>
    <n v="4442.91"/>
    <n v="0.1"/>
    <n v="15994.48"/>
    <n v="9224.2800000000007"/>
    <n v="6770.2"/>
    <x v="0"/>
    <x v="0"/>
    <s v="July"/>
    <s v="Invalid"/>
    <s v="OK"/>
    <n v="0.1"/>
    <n v="1"/>
    <n v="6770.1959999999999"/>
    <n v="15994.476000000001"/>
    <n v="0"/>
    <s v="East"/>
    <s v="Clean"/>
    <s v="Same Day"/>
  </r>
  <r>
    <s v="Ord-2024-10662"/>
    <x v="356"/>
    <d v="2024-05-22T00:00:00"/>
    <s v="Cust-4537"/>
    <s v="Sneha Kapoor"/>
    <x v="0"/>
    <x v="2"/>
    <x v="5"/>
    <s v="Vijayawada"/>
    <x v="2"/>
    <x v="12"/>
    <s v="Max Machines 595"/>
    <x v="0"/>
    <n v="7"/>
    <n v="232.5"/>
    <n v="0"/>
    <n v="1627.5"/>
    <n v="939.9"/>
    <n v="687.6"/>
    <x v="0"/>
    <x v="0"/>
    <s v="May"/>
    <s v="OK"/>
    <s v="OK"/>
    <n v="0"/>
    <n v="1"/>
    <n v="687.6"/>
    <n v="1627.5"/>
    <n v="5"/>
    <s v="South"/>
    <s v="Clean"/>
    <s v="Second Class"/>
  </r>
  <r>
    <s v="Ord-2024-10663"/>
    <x v="433"/>
    <d v="2024-01-18T00:00:00"/>
    <s v="Cust-3181"/>
    <s v="Mira Das"/>
    <x v="3"/>
    <x v="3"/>
    <x v="0"/>
    <s v="Udaipur"/>
    <x v="2"/>
    <x v="12"/>
    <s v="Elite Machines 367"/>
    <x v="1"/>
    <n v="6"/>
    <n v="1784.8"/>
    <n v="0.1"/>
    <n v="9637.92"/>
    <n v="7329.29"/>
    <n v="2308.63"/>
    <x v="0"/>
    <x v="0"/>
    <s v="January"/>
    <s v="OK"/>
    <s v="OK"/>
    <n v="0.1"/>
    <n v="1"/>
    <n v="2308.63"/>
    <n v="9637.92"/>
    <n v="4"/>
    <s v="West"/>
    <s v="Clean"/>
    <s v="Same Day"/>
  </r>
  <r>
    <s v="Ord-2024-10664"/>
    <x v="195"/>
    <d v="2024-05-08T00:00:00"/>
    <s v="Cust-1015"/>
    <s v="Rahul Verma"/>
    <x v="3"/>
    <x v="1"/>
    <x v="15"/>
    <s v="Ranchi"/>
    <x v="2"/>
    <x v="6"/>
    <s v="Basic Copiers 787"/>
    <x v="0"/>
    <n v="2"/>
    <n v="3185.01"/>
    <n v="-0.24"/>
    <n v="4777.5200000000004"/>
    <n v="3152.98"/>
    <n v="1624.54"/>
    <x v="0"/>
    <x v="0"/>
    <s v="May"/>
    <s v="OK"/>
    <s v="Negative Discount"/>
    <n v="-0.24"/>
    <n v="1"/>
    <n v="4745.8448000000008"/>
    <n v="7898.8248000000003"/>
    <n v="93"/>
    <s v="East"/>
    <s v="ivalid"/>
    <s v="Second Class"/>
  </r>
  <r>
    <s v="Ord-2024-10665"/>
    <x v="434"/>
    <d v="2024-12-10T00:00:00"/>
    <s v="Cust-2709"/>
    <s v="Mira Das"/>
    <x v="3"/>
    <x v="2"/>
    <x v="2"/>
    <s v="Hyderabad"/>
    <x v="2"/>
    <x v="5"/>
    <s v="Max Accessories 903"/>
    <x v="3"/>
    <n v="1"/>
    <n v="1908.83"/>
    <n v="0.2"/>
    <n v="1527.06"/>
    <n v="1055.8900000000001"/>
    <n v="471.17"/>
    <x v="0"/>
    <x v="0"/>
    <s v="December"/>
    <s v="OK"/>
    <s v="OK"/>
    <n v="0.2"/>
    <n v="1"/>
    <n v="471.17399999999998"/>
    <n v="1527.0640000000001"/>
    <n v="151"/>
    <s v="South"/>
    <s v="Clean"/>
    <s v="Standard Class"/>
  </r>
  <r>
    <s v="Ord-2025-10666"/>
    <x v="435"/>
    <d v="2025-01-13T00:00:00"/>
    <s v="Cust-1197"/>
    <s v="Rahul Verma"/>
    <x v="3"/>
    <x v="3"/>
    <x v="12"/>
    <s v="Ahmedabad"/>
    <x v="0"/>
    <x v="2"/>
    <s v="Max Art 660"/>
    <x v="3"/>
    <n v="3"/>
    <n v="2110.52"/>
    <n v="0.1"/>
    <n v="5698.4"/>
    <n v="3640.89"/>
    <n v="2057.5100000000002"/>
    <x v="3"/>
    <x v="1"/>
    <s v="January"/>
    <s v="Invalid"/>
    <s v="OK"/>
    <n v="0.1"/>
    <n v="1"/>
    <n v="2057.5139999999997"/>
    <n v="5698.4039999999995"/>
    <n v="0"/>
    <s v="West"/>
    <s v="Clean"/>
    <s v="Standard Class"/>
  </r>
  <r>
    <s v="Ord-2024-10667"/>
    <x v="217"/>
    <d v="2024-06-26T00:00:00"/>
    <s v="Cust-7758"/>
    <s v="Rohan Mehta"/>
    <x v="1"/>
    <x v="0"/>
    <x v="7"/>
    <s v="Ludhiana"/>
    <x v="2"/>
    <x v="6"/>
    <s v="Classic Copiers 908"/>
    <x v="1"/>
    <n v="1"/>
    <n v="279.83"/>
    <n v="0.05"/>
    <n v="265.83999999999997"/>
    <n v="223.49"/>
    <n v="42.35"/>
    <x v="0"/>
    <x v="0"/>
    <s v="June"/>
    <s v="OK"/>
    <s v="OK"/>
    <n v="0.05"/>
    <n v="1"/>
    <n v="42.348499999999945"/>
    <n v="265.83849999999995"/>
    <n v="5"/>
    <s v="North"/>
    <s v="Clean"/>
    <s v="Same Day"/>
  </r>
  <r>
    <s v="Ord-2025-10668"/>
    <x v="10"/>
    <d v="2025-05-27T00:00:00"/>
    <s v="Cust-3912"/>
    <s v="Diya Patel"/>
    <x v="1"/>
    <x v="1"/>
    <x v="9"/>
    <s v="Patna"/>
    <x v="2"/>
    <x v="12"/>
    <s v="Pro Machines 706"/>
    <x v="3"/>
    <n v="1"/>
    <n v="3959.14"/>
    <n v="0"/>
    <n v="3959.14"/>
    <n v="3239.53"/>
    <n v="719.61"/>
    <x v="2"/>
    <x v="2"/>
    <s v="May"/>
    <s v="OK"/>
    <s v="OK"/>
    <n v="0"/>
    <n v="1"/>
    <n v="719.60999999999967"/>
    <n v="3959.14"/>
    <n v="7"/>
    <s v="East"/>
    <s v="Clean"/>
    <s v="Standard Class"/>
  </r>
  <r>
    <s v="Ord-2024-10669"/>
    <x v="436"/>
    <d v="2024-11-23T00:00:00"/>
    <s v="Cust-4190"/>
    <s v="Mira Das"/>
    <x v="2"/>
    <x v="3"/>
    <x v="12"/>
    <s v="Ahmedabad"/>
    <x v="0"/>
    <x v="0"/>
    <s v="Pro Paper 187"/>
    <x v="0"/>
    <n v="5"/>
    <n v="600.46"/>
    <n v="0.2"/>
    <n v="2401.84"/>
    <n v="1873.11"/>
    <n v="528.73"/>
    <x v="0"/>
    <x v="0"/>
    <s v="November"/>
    <s v="OK"/>
    <s v="OK"/>
    <n v="0.2"/>
    <n v="1"/>
    <n v="528.73000000000025"/>
    <n v="2401.84"/>
    <n v="2"/>
    <s v="West"/>
    <s v="Clean"/>
    <s v="Second Class"/>
  </r>
  <r>
    <s v="Ord-2024-10670"/>
    <x v="82"/>
    <d v="2024-04-01T00:00:00"/>
    <s v="Cust-7568"/>
    <s v="Ananya Rao"/>
    <x v="3"/>
    <x v="3"/>
    <x v="3"/>
    <s v="Mumbai"/>
    <x v="1"/>
    <x v="1"/>
    <s v="Classic Tables 606"/>
    <x v="0"/>
    <n v="4"/>
    <n v="1700.72"/>
    <n v="0.25"/>
    <n v="5102.16"/>
    <n v="3226.45"/>
    <n v="1875.71"/>
    <x v="0"/>
    <x v="0"/>
    <s v="April"/>
    <s v="OK"/>
    <s v="OK"/>
    <n v="0.25"/>
    <n v="1"/>
    <n v="1875.71"/>
    <n v="5102.16"/>
    <n v="8"/>
    <s v="West"/>
    <s v="Clean"/>
    <s v="Second Class"/>
  </r>
  <r>
    <s v="Ord-2025-10671"/>
    <x v="437"/>
    <d v="2025-02-06T00:00:00"/>
    <s v="Cust-5604"/>
    <s v="Sneha Kapoor"/>
    <x v="2"/>
    <x v="0"/>
    <x v="8"/>
    <s v="Noida"/>
    <x v="1"/>
    <x v="1"/>
    <s v="Smart Tables 835"/>
    <x v="3"/>
    <n v="8"/>
    <n v="857.86"/>
    <n v="0.1"/>
    <n v="6176.59"/>
    <n v="3560.96"/>
    <n v="2615.63"/>
    <x v="0"/>
    <x v="0"/>
    <s v="February"/>
    <s v="OK"/>
    <s v="OK"/>
    <n v="0.1"/>
    <n v="1"/>
    <n v="2615.6320000000005"/>
    <n v="6176.5920000000006"/>
    <n v="4"/>
    <s v="North"/>
    <s v="Clean"/>
    <s v="Standard Class"/>
  </r>
  <r>
    <s v="Ord-2024-10672"/>
    <x v="297"/>
    <d v="2024-03-27T00:00:00"/>
    <s v="Cust-3293"/>
    <s v="Aditi Sen"/>
    <x v="3"/>
    <x v="3"/>
    <x v="14"/>
    <s v="Panaji"/>
    <x v="2"/>
    <x v="6"/>
    <s v="Classic Copiers 583"/>
    <x v="0"/>
    <n v="9"/>
    <n v="3649.51"/>
    <n v="0.05"/>
    <n v="31203.31"/>
    <n v="17738.13"/>
    <n v="13465.18"/>
    <x v="0"/>
    <x v="0"/>
    <s v="March"/>
    <s v="OK"/>
    <s v="OK"/>
    <n v="0.05"/>
    <n v="1"/>
    <n v="13465.180500000002"/>
    <n v="31203.310500000003"/>
    <n v="5"/>
    <s v="West"/>
    <s v="Clean"/>
    <s v="Second Class"/>
  </r>
  <r>
    <s v="Ord-2024-10673"/>
    <x v="438"/>
    <d v="2024-09-05T00:00:00"/>
    <s v="Cust-8180"/>
    <s v="Aditi Sen"/>
    <x v="2"/>
    <x v="3"/>
    <x v="4"/>
    <s v="Indore"/>
    <x v="1"/>
    <x v="4"/>
    <s v="Classic Chairs 460"/>
    <x v="3"/>
    <n v="5"/>
    <n v="2528.5300000000002"/>
    <n v="0.05"/>
    <n v="12010.52"/>
    <n v="7864.61"/>
    <n v="4145.91"/>
    <x v="0"/>
    <x v="2"/>
    <s v="September"/>
    <s v="OK"/>
    <s v="OK"/>
    <n v="0.05"/>
    <n v="1"/>
    <n v="4145.9075000000003"/>
    <n v="12010.5175"/>
    <n v="149"/>
    <s v="West"/>
    <s v="Clean"/>
    <s v="Standard Class"/>
  </r>
  <r>
    <s v="Ord-2025-10674"/>
    <x v="228"/>
    <d v="2025-02-16T00:00:00"/>
    <s v="Cust-2807"/>
    <s v="Arjun Bose"/>
    <x v="1"/>
    <x v="3"/>
    <x v="0"/>
    <s v="Udaipur"/>
    <x v="1"/>
    <x v="10"/>
    <s v="Classic Bookcases 488"/>
    <x v="0"/>
    <n v="4"/>
    <n v="4072.9"/>
    <n v="0.15"/>
    <n v="13847.86"/>
    <n v="8471.7800000000007"/>
    <n v="5376.08"/>
    <x v="0"/>
    <x v="0"/>
    <s v="February"/>
    <s v="OK"/>
    <s v="OK"/>
    <n v="0.15"/>
    <n v="1"/>
    <n v="5376.08"/>
    <n v="13847.86"/>
    <n v="3"/>
    <s v="West"/>
    <s v="Clean"/>
    <s v="Second Class"/>
  </r>
  <r>
    <s v="Ord-2024-10675"/>
    <x v="439"/>
    <d v="2024-05-21T00:00:00"/>
    <s v="Cust-4081"/>
    <s v="Vikram Iyer"/>
    <x v="2"/>
    <x v="1"/>
    <x v="15"/>
    <s v="Ranchi"/>
    <x v="2"/>
    <x v="5"/>
    <s v="Basic Accessories 944"/>
    <x v="0"/>
    <n v="1"/>
    <n v="1033.71"/>
    <n v="0"/>
    <n v="1033.71"/>
    <n v="630.82000000000005"/>
    <n v="402.89"/>
    <x v="2"/>
    <x v="2"/>
    <s v="May"/>
    <s v="OK"/>
    <s v="OK"/>
    <n v="0"/>
    <n v="1"/>
    <n v="402.89"/>
    <n v="1033.71"/>
    <n v="3"/>
    <s v="East"/>
    <s v="Clean"/>
    <s v="Second Class"/>
  </r>
  <r>
    <s v="Ord-2025-10676"/>
    <x v="202"/>
    <d v="2025-10-06T00:00:00"/>
    <s v="Cust-5061"/>
    <s v="Aarav Sharma"/>
    <x v="0"/>
    <x v="0"/>
    <x v="0"/>
    <s v="Jaipur"/>
    <x v="1"/>
    <x v="3"/>
    <s v="Eco Furnishings 217"/>
    <x v="1"/>
    <n v="3"/>
    <n v="963.26"/>
    <n v="0"/>
    <n v="2889.78"/>
    <n v="1811.23"/>
    <n v="1078.55"/>
    <x v="0"/>
    <x v="0"/>
    <s v="October"/>
    <s v="OK"/>
    <s v="OK"/>
    <n v="0"/>
    <n v="1"/>
    <n v="1078.5499999999997"/>
    <n v="2889.7799999999997"/>
    <n v="121"/>
    <s v="North"/>
    <s v="Clean"/>
    <s v="Same Day"/>
  </r>
  <r>
    <s v="Ord-2025-10677"/>
    <x v="440"/>
    <d v="2025-09-18T00:00:00"/>
    <s v="Cust-9212"/>
    <s v="Rahul Verma"/>
    <x v="1"/>
    <x v="0"/>
    <x v="18"/>
    <s v="New Delhi"/>
    <x v="2"/>
    <x v="11"/>
    <s v="Smart Phones 967"/>
    <x v="1"/>
    <n v="7"/>
    <n v="3411.21"/>
    <n v="0.15"/>
    <n v="20296.7"/>
    <n v="14920.87"/>
    <n v="5375.83"/>
    <x v="0"/>
    <x v="0"/>
    <s v="September"/>
    <s v="Invalid"/>
    <s v="OK"/>
    <n v="0.15"/>
    <n v="1"/>
    <n v="5375.829499999998"/>
    <n v="20296.699499999999"/>
    <n v="-52"/>
    <s v="North"/>
    <s v="ivalid"/>
    <s v="Same Day"/>
  </r>
  <r>
    <s v="Ord-2024-10678"/>
    <x v="41"/>
    <d v="2024-06-27T00:00:00"/>
    <s v="Cust-4655"/>
    <s v="Isha Nair"/>
    <x v="3"/>
    <x v="2"/>
    <x v="11"/>
    <s v="Bengaluru"/>
    <x v="1"/>
    <x v="4"/>
    <s v="Smart Chairs 610"/>
    <x v="1"/>
    <n v="7"/>
    <n v="2623.48"/>
    <n v="0"/>
    <n v="18364.36"/>
    <n v="15445.81"/>
    <n v="2918.55"/>
    <x v="0"/>
    <x v="0"/>
    <s v="June"/>
    <s v="OK"/>
    <s v="OK"/>
    <n v="0"/>
    <n v="1"/>
    <n v="2918.5500000000011"/>
    <n v="18364.36"/>
    <n v="5"/>
    <s v="South"/>
    <s v="Clean"/>
    <s v="Same Day"/>
  </r>
  <r>
    <s v="Ord-2024-10679"/>
    <x v="441"/>
    <d v="2024-01-12T00:00:00"/>
    <s v="Cust-1674"/>
    <s v="Kabir Singh"/>
    <x v="2"/>
    <x v="2"/>
    <x v="11"/>
    <s v="Bengaluru"/>
    <x v="1"/>
    <x v="1"/>
    <s v="Prime Tables 123"/>
    <x v="0"/>
    <n v="9"/>
    <n v="2763.61"/>
    <n v="0.15"/>
    <n v="21141.62"/>
    <n v="11676.33"/>
    <n v="9465.2900000000009"/>
    <x v="0"/>
    <x v="0"/>
    <s v="January"/>
    <s v="Invalid"/>
    <s v="OK"/>
    <n v="0.15"/>
    <n v="1"/>
    <n v="9465.2865000000002"/>
    <n v="21141.6165"/>
    <n v="-317"/>
    <s v="South"/>
    <s v="ivalid"/>
    <s v="Second Class"/>
  </r>
  <r>
    <s v="Ord-2025-10680"/>
    <x v="277"/>
    <d v="2025-08-23T00:00:00"/>
    <s v="Cust-2897"/>
    <s v="Rohan Mehta"/>
    <x v="2"/>
    <x v="0"/>
    <x v="7"/>
    <s v="Ludhiana"/>
    <x v="2"/>
    <x v="6"/>
    <s v="Smart Copiers 579"/>
    <x v="1"/>
    <n v="4"/>
    <n v="1410.57"/>
    <n v="7.0000000000000007E-2"/>
    <n v="5360.17"/>
    <n v="3881.51"/>
    <n v="1478.66"/>
    <x v="1"/>
    <x v="1"/>
    <s v="August"/>
    <s v="OK"/>
    <s v="OK"/>
    <n v="7.0000000000000007E-2"/>
    <n v="1"/>
    <n v="1365.8103999999994"/>
    <n v="5247.3203999999996"/>
    <n v="7"/>
    <s v="North"/>
    <s v="Clean"/>
    <s v="Same Day"/>
  </r>
  <r>
    <s v="Ord-2024-10681"/>
    <x v="32"/>
    <d v="2024-06-05T00:00:00"/>
    <s v="Cust-1136"/>
    <s v="Kabir Singh"/>
    <x v="2"/>
    <x v="2"/>
    <x v="17"/>
    <s v="Chennai"/>
    <x v="2"/>
    <x v="5"/>
    <s v="Eco Accessories 658"/>
    <x v="2"/>
    <n v="4"/>
    <n v="3700.24"/>
    <n v="0"/>
    <n v="14800.96"/>
    <n v="12048.39"/>
    <n v="2752.57"/>
    <x v="0"/>
    <x v="0"/>
    <s v="June"/>
    <s v="OK"/>
    <s v="OK"/>
    <n v="0"/>
    <n v="1"/>
    <n v="2752.5699999999997"/>
    <n v="14800.96"/>
    <n v="7"/>
    <s v="South"/>
    <s v="Clean"/>
    <s v="First Class"/>
  </r>
  <r>
    <s v="Ord-2024-10682"/>
    <x v="229"/>
    <d v="2024-07-10T00:00:00"/>
    <s v="Cust-1376"/>
    <s v="Vikram Iyer"/>
    <x v="2"/>
    <x v="0"/>
    <x v="18"/>
    <s v="New Delhi"/>
    <x v="1"/>
    <x v="1"/>
    <s v="Smart Tables 777"/>
    <x v="0"/>
    <n v="5"/>
    <n v="1200.27"/>
    <n v="0"/>
    <n v="6001.35"/>
    <n v="4182.99"/>
    <n v="1818.36"/>
    <x v="0"/>
    <x v="1"/>
    <s v="July"/>
    <s v="OK"/>
    <s v="OK"/>
    <n v="0"/>
    <n v="1"/>
    <n v="1818.3600000000006"/>
    <n v="6001.35"/>
    <n v="94"/>
    <s v="North"/>
    <s v="Clean"/>
    <s v="Second Class"/>
  </r>
  <r>
    <s v="Ord-2025-10683"/>
    <x v="442"/>
    <d v="2025-02-05T00:00:00"/>
    <s v="Cust-1553"/>
    <s v="Ananya Rao"/>
    <x v="2"/>
    <x v="0"/>
    <x v="16"/>
    <s v="Gurugram"/>
    <x v="0"/>
    <x v="8"/>
    <s v="Eco Storage 861"/>
    <x v="1"/>
    <n v="3"/>
    <n v="2590.7800000000002"/>
    <m/>
    <n v="7383.72"/>
    <n v="4113.66"/>
    <n v="3270.06"/>
    <x v="0"/>
    <x v="0"/>
    <s v="February"/>
    <s v="Invalid"/>
    <s v="OK"/>
    <n v="0"/>
    <n v="1"/>
    <n v="3658.6800000000003"/>
    <n v="7772.34"/>
    <n v="-86"/>
    <s v="North"/>
    <s v="ivalid"/>
    <s v="Same Day"/>
  </r>
  <r>
    <s v="Ord-2025-10684"/>
    <x v="172"/>
    <d v="2025-07-24T00:00:00"/>
    <s v="Cust-5704"/>
    <s v="Arjun Bose"/>
    <x v="1"/>
    <x v="2"/>
    <x v="2"/>
    <s v="Hyderabad"/>
    <x v="1"/>
    <x v="3"/>
    <s v="Eco Furnishings 875"/>
    <x v="0"/>
    <n v="6"/>
    <n v="1646.45"/>
    <n v="0.2"/>
    <n v="7902.96"/>
    <n v="5512.03"/>
    <n v="2390.9299999999998"/>
    <x v="1"/>
    <x v="1"/>
    <s v="July"/>
    <s v="OK"/>
    <s v="OK"/>
    <n v="0.2"/>
    <n v="1"/>
    <n v="2390.9300000000012"/>
    <n v="7902.9600000000009"/>
    <n v="4"/>
    <s v="South"/>
    <s v="Clean"/>
    <s v="Second Class"/>
  </r>
  <r>
    <s v="Ord-2025-10685"/>
    <x v="443"/>
    <d v="2025-07-21T00:00:00"/>
    <s v="Cust-6738"/>
    <s v="Isha Nair"/>
    <x v="3"/>
    <x v="2"/>
    <x v="17"/>
    <s v="Chennai"/>
    <x v="1"/>
    <x v="10"/>
    <s v="Prime Bookcases 784"/>
    <x v="2"/>
    <n v="7"/>
    <n v="4396.6499999999996"/>
    <n v="0.2"/>
    <n v="24621.24"/>
    <n v="17155.48"/>
    <n v="7465.76"/>
    <x v="1"/>
    <x v="1"/>
    <s v="July"/>
    <s v="Invalid"/>
    <s v="OK"/>
    <n v="0.2"/>
    <n v="1"/>
    <n v="7465.7599999999984"/>
    <n v="24621.239999999998"/>
    <n v="0"/>
    <s v="South"/>
    <s v="Clean"/>
    <s v="First Class"/>
  </r>
  <r>
    <s v="Ord-2025-10686"/>
    <x v="444"/>
    <d v="2025-10-03T00:00:00"/>
    <s v="Cust-2586"/>
    <s v="Neha Gupta"/>
    <x v="2"/>
    <x v="3"/>
    <x v="14"/>
    <s v="Panaji"/>
    <x v="0"/>
    <x v="2"/>
    <s v="Classic Art 380"/>
    <x v="3"/>
    <n v="9"/>
    <n v="818.15"/>
    <n v="0.55000000000000004"/>
    <n v="6627.01"/>
    <n v="5606.79"/>
    <n v="1020.22"/>
    <x v="3"/>
    <x v="1"/>
    <s v="October"/>
    <s v="OK"/>
    <s v="OK"/>
    <n v="0.55000000000000004"/>
    <n v="1"/>
    <n v="-2293.2825000000007"/>
    <n v="3313.5074999999993"/>
    <n v="266"/>
    <s v="West"/>
    <s v="Clean"/>
    <s v="Standard Class"/>
  </r>
  <r>
    <s v="Ord-2024-10687"/>
    <x v="445"/>
    <d v="2024-02-04T00:00:00"/>
    <s v="Cust-3127"/>
    <s v="Sneha Kapoor"/>
    <x v="3"/>
    <x v="2"/>
    <x v="17"/>
    <s v="Chennai"/>
    <x v="2"/>
    <x v="6"/>
    <s v="Pro Copiers 502"/>
    <x v="3"/>
    <n v="2"/>
    <n v="2349.13"/>
    <n v="0"/>
    <n v="4698.26"/>
    <n v="2654.92"/>
    <n v="2043.34"/>
    <x v="0"/>
    <x v="0"/>
    <s v="February"/>
    <s v="Invalid"/>
    <s v="OK"/>
    <n v="0"/>
    <n v="1"/>
    <n v="2043.3400000000001"/>
    <n v="4698.26"/>
    <n v="-50"/>
    <s v="South"/>
    <s v="ivalid"/>
    <s v="Standard Class"/>
  </r>
  <r>
    <s v="Ord-2025-10688"/>
    <x v="286"/>
    <d v="2025-10-13T00:00:00"/>
    <s v="Cust-9347"/>
    <s v="Mira Das"/>
    <x v="3"/>
    <x v="0"/>
    <x v="7"/>
    <s v="Ludhiana"/>
    <x v="1"/>
    <x v="1"/>
    <s v="Prime Tables 604"/>
    <x v="2"/>
    <n v="4"/>
    <n v="172.05"/>
    <n v="0"/>
    <n v="688.2"/>
    <n v="497.68"/>
    <n v="190.52"/>
    <x v="3"/>
    <x v="1"/>
    <s v="October"/>
    <s v="OK"/>
    <s v="OK"/>
    <n v="0"/>
    <n v="1"/>
    <n v="190.52000000000004"/>
    <n v="688.2"/>
    <n v="64"/>
    <s v="North"/>
    <s v="Clean"/>
    <s v="First Class"/>
  </r>
  <r>
    <s v="Ord-2025-10689"/>
    <x v="183"/>
    <d v="2025-02-27T00:00:00"/>
    <s v="Cust-8575"/>
    <s v="Neha Gupta"/>
    <x v="3"/>
    <x v="0"/>
    <x v="16"/>
    <s v="Gurugram"/>
    <x v="0"/>
    <x v="2"/>
    <s v="Basic Art 798"/>
    <x v="0"/>
    <n v="6"/>
    <n v="3037.66"/>
    <n v="0.15"/>
    <n v="15492.07"/>
    <n v="12581.23"/>
    <n v="2910.84"/>
    <x v="0"/>
    <x v="0"/>
    <s v="February"/>
    <s v="OK"/>
    <s v="OK"/>
    <n v="0.15"/>
    <n v="1"/>
    <n v="2910.8359999999993"/>
    <n v="15492.065999999999"/>
    <n v="1"/>
    <s v="North"/>
    <s v="Clean"/>
    <s v="Second Class"/>
  </r>
  <r>
    <s v="Ord-2024-10690"/>
    <x v="392"/>
    <d v="2024-10-06T00:00:00"/>
    <s v="Cust-4382"/>
    <s v="Rohan Mehta"/>
    <x v="1"/>
    <x v="0"/>
    <x v="7"/>
    <s v="Ludhiana"/>
    <x v="1"/>
    <x v="1"/>
    <s v="Elite Tables 717"/>
    <x v="3"/>
    <n v="9"/>
    <n v="489.58"/>
    <n v="0.15"/>
    <n v="3745.29"/>
    <n v="2302.65"/>
    <n v="1442.64"/>
    <x v="3"/>
    <x v="1"/>
    <s v="October"/>
    <s v="OK"/>
    <s v="OK"/>
    <n v="0.15"/>
    <n v="1"/>
    <n v="1442.6370000000002"/>
    <n v="3745.2870000000003"/>
    <n v="1"/>
    <s v="North"/>
    <s v="Clean"/>
    <s v="Standard Class"/>
  </r>
  <r>
    <s v="Ord-2024-10691"/>
    <x v="446"/>
    <d v="2024-09-15T00:00:00"/>
    <s v="Cust-6815"/>
    <s v="Sneha Kapoor"/>
    <x v="2"/>
    <x v="2"/>
    <x v="17"/>
    <s v="Chennai"/>
    <x v="0"/>
    <x v="2"/>
    <s v="Max Art 725"/>
    <x v="3"/>
    <n v="4"/>
    <n v="865.63"/>
    <n v="0"/>
    <n v="3462.52"/>
    <n v="2797.29"/>
    <n v="665.23"/>
    <x v="3"/>
    <x v="2"/>
    <s v="September"/>
    <s v="Invalid"/>
    <s v="OK"/>
    <n v="0"/>
    <n v="1"/>
    <n v="665.23"/>
    <n v="3462.52"/>
    <n v="-55"/>
    <s v="South"/>
    <s v="ivalid"/>
    <s v="Standard Class"/>
  </r>
  <r>
    <s v="Ord-2024-10692"/>
    <x v="359"/>
    <d v="2024-12-16T00:00:00"/>
    <s v="Cust-7309"/>
    <s v="Rohan Mehta"/>
    <x v="0"/>
    <x v="1"/>
    <x v="1"/>
    <s v="Bhubaneswar"/>
    <x v="2"/>
    <x v="6"/>
    <s v="Smart Copiers 456"/>
    <x v="0"/>
    <n v="6"/>
    <n v="1538.1"/>
    <n v="0.05"/>
    <n v="8767.17"/>
    <n v="5098.2"/>
    <n v="3668.97"/>
    <x v="0"/>
    <x v="0"/>
    <s v="December"/>
    <s v="OK"/>
    <s v="OK"/>
    <n v="0.05"/>
    <n v="1"/>
    <n v="3668.9699999999984"/>
    <n v="8767.1699999999983"/>
    <n v="1"/>
    <s v="East"/>
    <s v="Clean"/>
    <s v="Second Class"/>
  </r>
  <r>
    <s v="Ord-2025-10693"/>
    <x v="447"/>
    <d v="2025-10-10T00:00:00"/>
    <s v="Cust-9531"/>
    <s v="Isha Nair"/>
    <x v="2"/>
    <x v="2"/>
    <x v="11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s v="October"/>
    <s v="OK"/>
    <s v="OK"/>
    <n v="0.1"/>
    <n v="1"/>
    <n v="2612.6379999999999"/>
    <n v="8516.4480000000003"/>
    <n v="5"/>
    <s v="South"/>
    <s v="Clean"/>
    <s v="Second Class"/>
  </r>
  <r>
    <s v="Ord-2025-10694"/>
    <x v="284"/>
    <d v="2025-04-11T00:00:00"/>
    <s v="Cust-6032"/>
    <s v="Arjun Bose"/>
    <x v="0"/>
    <x v="2"/>
    <x v="17"/>
    <s v="Chennai"/>
    <x v="1"/>
    <x v="10"/>
    <s v="Smart Bookcases 828"/>
    <x v="0"/>
    <n v="3"/>
    <n v="4149.7700000000004"/>
    <n v="0.05"/>
    <n v="11826.84"/>
    <n v="8035.96"/>
    <n v="3790.88"/>
    <x v="0"/>
    <x v="0"/>
    <s v="April"/>
    <s v="OK"/>
    <s v="OK"/>
    <n v="0.05"/>
    <n v="1"/>
    <n v="3790.884500000001"/>
    <n v="11826.844500000001"/>
    <n v="8"/>
    <s v="South"/>
    <s v="Clean"/>
    <s v="Second Class"/>
  </r>
  <r>
    <s v="Ord-2025-10695"/>
    <x v="302"/>
    <d v="2025-08-09T00:00:00"/>
    <s v="Cust-8025"/>
    <s v="Isha Nair"/>
    <x v="0"/>
    <x v="2"/>
    <x v="5"/>
    <s v="Vijayawada"/>
    <x v="0"/>
    <x v="8"/>
    <s v="Classic Storage 291"/>
    <x v="2"/>
    <n v="5"/>
    <n v="2736.24"/>
    <n v="0.15"/>
    <n v="11629.02"/>
    <n v="9627.2099999999991"/>
    <n v="2001.81"/>
    <x v="0"/>
    <x v="0"/>
    <s v="August"/>
    <s v="OK"/>
    <s v="OK"/>
    <n v="0.15"/>
    <n v="1"/>
    <n v="2001.8099999999995"/>
    <n v="11629.019999999999"/>
    <n v="8"/>
    <s v="South"/>
    <s v="Clean"/>
    <s v="First Class"/>
  </r>
  <r>
    <s v="Ord-2024-10696"/>
    <x v="80"/>
    <d v="2024-07-01T00:00:00"/>
    <s v="Cust-6257"/>
    <s v="Aarav Sharma"/>
    <x v="0"/>
    <x v="3"/>
    <x v="4"/>
    <s v="Indore"/>
    <x v="2"/>
    <x v="12"/>
    <s v="Prime Machines 102"/>
    <x v="3"/>
    <n v="4"/>
    <n v="257.39"/>
    <n v="0"/>
    <n v="1029.56"/>
    <n v="626.33000000000004"/>
    <n v="403.23"/>
    <x v="0"/>
    <x v="0"/>
    <s v="July"/>
    <s v="OK"/>
    <s v="OK"/>
    <n v="0"/>
    <n v="1"/>
    <n v="403.2299999999999"/>
    <n v="1029.56"/>
    <n v="176"/>
    <s v="West"/>
    <s v="Clean"/>
    <s v="Standard Class"/>
  </r>
  <r>
    <s v="Ord-2025-10697"/>
    <x v="394"/>
    <d v="2025-09-25T00:00:00"/>
    <s v="Cust-7812"/>
    <s v="Isha Nair"/>
    <x v="1"/>
    <x v="2"/>
    <x v="13"/>
    <s v="Kochi"/>
    <x v="2"/>
    <x v="11"/>
    <s v="Classic Phones 842"/>
    <x v="4"/>
    <n v="4"/>
    <n v="1178.8399999999999"/>
    <n v="0.25"/>
    <n v="3536.52"/>
    <n v="2102.41"/>
    <n v="1363.28"/>
    <x v="0"/>
    <x v="0"/>
    <s v="September"/>
    <s v="OK"/>
    <s v="OK"/>
    <n v="0.25"/>
    <n v="1"/>
    <n v="1434.1099999999997"/>
    <n v="3536.5199999999995"/>
    <n v="3"/>
    <s v="South"/>
    <s v="Clean"/>
    <s v="Unknown"/>
  </r>
  <r>
    <s v="Ord-2025-10698"/>
    <x v="313"/>
    <d v="2025-03-07T00:00:00"/>
    <s v="Cust-6205"/>
    <s v="Arjun Bose"/>
    <x v="2"/>
    <x v="2"/>
    <x v="5"/>
    <s v="Vijayawada"/>
    <x v="0"/>
    <x v="7"/>
    <s v="Max Labels 970"/>
    <x v="2"/>
    <n v="7"/>
    <n v="567.15"/>
    <m/>
    <n v="2977.54"/>
    <n v="1849.3"/>
    <n v="1128.24"/>
    <x v="1"/>
    <x v="2"/>
    <s v="March"/>
    <s v="OK"/>
    <s v="OK"/>
    <n v="0"/>
    <n v="1"/>
    <n v="2120.75"/>
    <n v="3970.0499999999997"/>
    <n v="63"/>
    <s v="South"/>
    <s v="Clean"/>
    <s v="First Class"/>
  </r>
  <r>
    <s v="Ord-2024-10699"/>
    <x v="268"/>
    <d v="2024-09-14T00:00:00"/>
    <s v="Cust-5357"/>
    <s v="Mira Das"/>
    <x v="2"/>
    <x v="0"/>
    <x v="0"/>
    <s v="Jaipur"/>
    <x v="2"/>
    <x v="12"/>
    <s v="Classic Machines 648"/>
    <x v="3"/>
    <n v="8"/>
    <n v="4081.66"/>
    <n v="0.15"/>
    <n v="28208.1"/>
    <n v="23751.91"/>
    <n v="4003.38"/>
    <x v="0"/>
    <x v="2"/>
    <s v="September"/>
    <s v="Invalid"/>
    <s v="OK"/>
    <n v="0.15"/>
    <n v="1"/>
    <n v="4003.377999999997"/>
    <n v="27755.287999999997"/>
    <n v="0"/>
    <s v="North"/>
    <s v="Clean"/>
    <s v="Standard Class"/>
  </r>
  <r>
    <s v="Ord-2024-10700"/>
    <x v="240"/>
    <d v="2024-06-11T00:00:00"/>
    <s v="Cust-9802"/>
    <s v="Arjun Bose"/>
    <x v="1"/>
    <x v="2"/>
    <x v="11"/>
    <s v="Bengaluru"/>
    <x v="1"/>
    <x v="10"/>
    <s v="Max Bookcases 565"/>
    <x v="3"/>
    <n v="9"/>
    <n v="1400.11"/>
    <n v="0.25"/>
    <n v="9450.74"/>
    <n v="7798.56"/>
    <n v="1652.18"/>
    <x v="0"/>
    <x v="0"/>
    <s v="June"/>
    <s v="Invalid"/>
    <s v="OK"/>
    <n v="0.25"/>
    <n v="1"/>
    <n v="1652.1824999999999"/>
    <n v="9450.7425000000003"/>
    <n v="-148"/>
    <s v="South"/>
    <s v="ivalid"/>
    <s v="Standard Class"/>
  </r>
  <r>
    <s v="Ord-2024-10701"/>
    <x v="426"/>
    <d v="2024-09-21T00:00:00"/>
    <s v="Cust-5646"/>
    <s v="Neha Gupta"/>
    <x v="2"/>
    <x v="1"/>
    <x v="6"/>
    <s v="Kolkata"/>
    <x v="2"/>
    <x v="12"/>
    <s v="Basic Machines 220"/>
    <x v="3"/>
    <n v="3"/>
    <n v="3055.9"/>
    <n v="0.15"/>
    <n v="7792.55"/>
    <n v="4691.7299999999996"/>
    <n v="3100.82"/>
    <x v="0"/>
    <x v="0"/>
    <s v="September"/>
    <s v="OK"/>
    <s v="OK"/>
    <n v="0.15"/>
    <n v="1"/>
    <n v="3100.8150000000005"/>
    <n v="7792.5450000000001"/>
    <n v="3"/>
    <s v="East"/>
    <s v="Clean"/>
    <s v="Standard Class"/>
  </r>
  <r>
    <s v="Ord-2024-10702"/>
    <x v="448"/>
    <d v="2024-05-04T00:00:00"/>
    <s v="Cust-7171"/>
    <s v="Rohan Mehta"/>
    <x v="1"/>
    <x v="3"/>
    <x v="12"/>
    <s v="Ahmedabad"/>
    <x v="0"/>
    <x v="2"/>
    <s v="Pro Art 151"/>
    <x v="1"/>
    <n v="7"/>
    <n v="1224.94"/>
    <n v="0"/>
    <n v="8574.58"/>
    <n v="6685.81"/>
    <n v="1888.77"/>
    <x v="0"/>
    <x v="2"/>
    <s v="May"/>
    <s v="OK"/>
    <s v="OK"/>
    <n v="0"/>
    <n v="1"/>
    <n v="1888.7699999999995"/>
    <n v="8574.58"/>
    <n v="4"/>
    <s v="West"/>
    <s v="Clean"/>
    <s v="Same Day"/>
  </r>
  <r>
    <s v="Ord-2025-10703"/>
    <x v="437"/>
    <d v="2025-06-02T00:00:00"/>
    <s v="Cust-5231"/>
    <s v="Karan Malhotra"/>
    <x v="1"/>
    <x v="3"/>
    <x v="0"/>
    <s v="Udaipur"/>
    <x v="1"/>
    <x v="1"/>
    <s v="Pro Tables 980"/>
    <x v="0"/>
    <n v="3"/>
    <n v="997.34"/>
    <n v="0.1"/>
    <n v="2692.82"/>
    <n v="1820.08"/>
    <n v="872.74"/>
    <x v="0"/>
    <x v="0"/>
    <s v="June"/>
    <s v="OK"/>
    <s v="OK"/>
    <n v="0.1"/>
    <n v="1"/>
    <n v="872.73800000000028"/>
    <n v="2692.8180000000002"/>
    <n v="120"/>
    <s v="West"/>
    <s v="Clean"/>
    <s v="Second Class"/>
  </r>
  <r>
    <s v="Ord-2024-10704"/>
    <x v="162"/>
    <d v="2024-10-20T00:00:00"/>
    <s v="Cust-8734"/>
    <s v="Aditi Sen"/>
    <x v="2"/>
    <x v="0"/>
    <x v="0"/>
    <s v="Jaipur"/>
    <x v="1"/>
    <x v="1"/>
    <s v="Classic Tables 997"/>
    <x v="2"/>
    <n v="1"/>
    <n v="1150.03"/>
    <n v="0.1"/>
    <n v="1035.03"/>
    <n v="854.35"/>
    <n v="180.68"/>
    <x v="0"/>
    <x v="0"/>
    <s v="October"/>
    <s v="OK"/>
    <s v="OK"/>
    <n v="0.1"/>
    <n v="1"/>
    <n v="180.67700000000002"/>
    <n v="1035.027"/>
    <n v="1"/>
    <s v="North"/>
    <s v="Clean"/>
    <s v="First Class"/>
  </r>
  <r>
    <s v="Ord-2024-10705"/>
    <x v="449"/>
    <d v="2024-03-20T00:00:00"/>
    <s v="Cust-4916"/>
    <s v="Priya Menon"/>
    <x v="3"/>
    <x v="2"/>
    <x v="17"/>
    <s v="Chennai"/>
    <x v="1"/>
    <x v="10"/>
    <s v="Max Bookcases 738"/>
    <x v="4"/>
    <n v="1"/>
    <n v="2825.63"/>
    <n v="0.15"/>
    <n v="2401.79"/>
    <n v="1820.34"/>
    <n v="581.45000000000005"/>
    <x v="0"/>
    <x v="0"/>
    <s v="March"/>
    <s v="OK"/>
    <s v="OK"/>
    <n v="0.15"/>
    <n v="1"/>
    <n v="581.44550000000004"/>
    <n v="2401.7855"/>
    <n v="7"/>
    <s v="South"/>
    <s v="Clean"/>
    <s v="Unknown"/>
  </r>
  <r>
    <s v="Ord-2024-10706"/>
    <x v="450"/>
    <d v="2024-09-14T00:00:00"/>
    <s v="Cust-3289"/>
    <s v="Rohan Mehta"/>
    <x v="0"/>
    <x v="0"/>
    <x v="0"/>
    <s v="Jaipur"/>
    <x v="0"/>
    <x v="9"/>
    <s v="Max Binders 411"/>
    <x v="3"/>
    <n v="5"/>
    <n v="3371.75"/>
    <n v="0.05"/>
    <n v="16015.81"/>
    <n v="11352.38"/>
    <n v="4663.43"/>
    <x v="0"/>
    <x v="0"/>
    <s v="September"/>
    <s v="OK"/>
    <s v="OK"/>
    <n v="0.05"/>
    <n v="1"/>
    <n v="4663.4325000000008"/>
    <n v="16015.8125"/>
    <n v="36"/>
    <s v="North"/>
    <s v="Clean"/>
    <s v="Standard Class"/>
  </r>
  <r>
    <s v="Ord-2024-10707"/>
    <x v="96"/>
    <d v="2024-06-28T00:00:00"/>
    <s v="Cust-4928"/>
    <s v="Isha Nair"/>
    <x v="1"/>
    <x v="1"/>
    <x v="1"/>
    <s v="Bhubaneswar"/>
    <x v="0"/>
    <x v="0"/>
    <s v="Max Paper 343"/>
    <x v="1"/>
    <n v="1"/>
    <n v="2112.75"/>
    <n v="0.1"/>
    <n v="1901.48"/>
    <n v="1354.28"/>
    <n v="547.20000000000005"/>
    <x v="0"/>
    <x v="0"/>
    <s v="June"/>
    <s v="OK"/>
    <s v="OK"/>
    <n v="0.1"/>
    <n v="1"/>
    <n v="547.19500000000016"/>
    <n v="1901.4750000000001"/>
    <n v="4"/>
    <s v="East"/>
    <s v="Clean"/>
    <s v="Same Day"/>
  </r>
  <r>
    <s v="Ord-2025-10708"/>
    <x v="156"/>
    <d v="2025-06-26T00:00:00"/>
    <s v="Cust-4902"/>
    <s v="Vikram Iyer"/>
    <x v="0"/>
    <x v="0"/>
    <x v="0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s v="June"/>
    <s v="OK"/>
    <s v="OK"/>
    <n v="0.55000000000000004"/>
    <n v="1"/>
    <n v="-3302.3350000000009"/>
    <n v="8375.9849999999988"/>
    <n v="2"/>
    <s v="North"/>
    <s v="Clean"/>
    <s v="Same Day"/>
  </r>
  <r>
    <s v="Ord-2025-10709"/>
    <x v="451"/>
    <d v="2025-03-26T00:00:00"/>
    <s v="Cust-6504"/>
    <s v="Sneha Kapoor"/>
    <x v="0"/>
    <x v="1"/>
    <x v="10"/>
    <s v="Guwahati"/>
    <x v="1"/>
    <x v="10"/>
    <s v="Elite Bookcases 113"/>
    <x v="2"/>
    <n v="4"/>
    <n v="4357.66"/>
    <n v="0.05"/>
    <n v="16559.11"/>
    <n v="13233.79"/>
    <n v="3325.32"/>
    <x v="0"/>
    <x v="0"/>
    <s v="March"/>
    <s v="OK"/>
    <s v="OK"/>
    <n v="0.05"/>
    <n v="1"/>
    <n v="3325.3179999999993"/>
    <n v="16559.108"/>
    <n v="6"/>
    <s v="East"/>
    <s v="Clean"/>
    <s v="First Class"/>
  </r>
  <r>
    <s v="Ord-2025-10710"/>
    <x v="22"/>
    <d v="2025-01-23T00:00:00"/>
    <s v="Cust-8036"/>
    <s v="Kabir Singh"/>
    <x v="3"/>
    <x v="0"/>
    <x v="7"/>
    <s v="Ludhiana"/>
    <x v="2"/>
    <x v="11"/>
    <s v="Eco Phones 787"/>
    <x v="1"/>
    <n v="7"/>
    <n v="1363.04"/>
    <n v="0.15"/>
    <n v="8110.09"/>
    <n v="6417.32"/>
    <n v="1692.77"/>
    <x v="0"/>
    <x v="1"/>
    <s v="January"/>
    <s v="OK"/>
    <s v="OK"/>
    <n v="0.15"/>
    <n v="1"/>
    <n v="1692.7679999999991"/>
    <n v="8110.0879999999988"/>
    <n v="4"/>
    <s v="North"/>
    <s v="Clean"/>
    <s v="Same Day"/>
  </r>
  <r>
    <s v="Ord-2024-10711"/>
    <x v="452"/>
    <d v="2024-07-19T00:00:00"/>
    <s v="Cust-7199"/>
    <s v="Vikram Iyer"/>
    <x v="2"/>
    <x v="0"/>
    <x v="7"/>
    <s v="Ludhiana"/>
    <x v="0"/>
    <x v="2"/>
    <s v="Smart Art 279"/>
    <x v="0"/>
    <n v="5"/>
    <n v="1559.16"/>
    <n v="0.05"/>
    <n v="7406.01"/>
    <n v="5941.74"/>
    <n v="1464.27"/>
    <x v="0"/>
    <x v="0"/>
    <s v="July"/>
    <s v="Invalid"/>
    <s v="OK"/>
    <n v="0.05"/>
    <n v="1"/>
    <n v="1464.2700000000004"/>
    <n v="7406.01"/>
    <n v="-141"/>
    <s v="North"/>
    <s v="ivalid"/>
    <s v="Second Class"/>
  </r>
  <r>
    <s v="Ord-2025-10712"/>
    <x v="437"/>
    <d v="2025-02-02T00:00:00"/>
    <s v="Cust-6176"/>
    <s v="Kabir Singh"/>
    <x v="2"/>
    <x v="1"/>
    <x v="6"/>
    <s v="Kolkata"/>
    <x v="2"/>
    <x v="12"/>
    <s v="Basic Machines 172"/>
    <x v="2"/>
    <n v="1"/>
    <n v="4326.75"/>
    <n v="0.05"/>
    <n v="4110.41"/>
    <n v="2394.14"/>
    <n v="1716.27"/>
    <x v="2"/>
    <x v="2"/>
    <s v="February"/>
    <s v="Invalid"/>
    <s v="OK"/>
    <n v="0.05"/>
    <n v="1"/>
    <n v="1716.2724999999996"/>
    <n v="4110.4124999999995"/>
    <n v="0"/>
    <s v="East"/>
    <s v="Clean"/>
    <s v="First Class"/>
  </r>
  <r>
    <s v="Ord-2024-10713"/>
    <x v="315"/>
    <d v="2024-02-18T00:00:00"/>
    <s v="Cust-5127"/>
    <s v="Isha Nair"/>
    <x v="3"/>
    <x v="3"/>
    <x v="4"/>
    <s v="Indore"/>
    <x v="1"/>
    <x v="4"/>
    <s v="Smart Chairs 259"/>
    <x v="2"/>
    <n v="7"/>
    <n v="1382.86"/>
    <n v="0"/>
    <n v="9680.02"/>
    <n v="6876.66"/>
    <n v="2803.36"/>
    <x v="0"/>
    <x v="0"/>
    <s v="February"/>
    <s v="Invalid"/>
    <s v="OK"/>
    <n v="0"/>
    <n v="1"/>
    <n v="2803.3599999999988"/>
    <n v="9680.0199999999986"/>
    <n v="-227"/>
    <s v="West"/>
    <s v="ivalid"/>
    <s v="First Class"/>
  </r>
  <r>
    <s v="Ord-2025-10714"/>
    <x v="295"/>
    <d v="2025-10-06T00:00:00"/>
    <s v="Cust-2548"/>
    <s v="Mira Das"/>
    <x v="0"/>
    <x v="3"/>
    <x v="0"/>
    <s v="Udaipur"/>
    <x v="2"/>
    <x v="12"/>
    <s v="Pro Machines 987"/>
    <x v="0"/>
    <n v="1"/>
    <n v="289.97000000000003"/>
    <n v="0.25"/>
    <n v="217.48"/>
    <n v="132.13"/>
    <n v="85.35"/>
    <x v="0"/>
    <x v="0"/>
    <s v="October"/>
    <s v="OK"/>
    <s v="OK"/>
    <n v="0.25"/>
    <n v="1"/>
    <n v="85.347500000000025"/>
    <n v="217.47750000000002"/>
    <n v="122"/>
    <s v="West"/>
    <s v="Clean"/>
    <s v="Second Class"/>
  </r>
  <r>
    <s v="Ord-2025-10715"/>
    <x v="453"/>
    <d v="2025-03-23T00:00:00"/>
    <s v="Cust-9902"/>
    <s v="Karan Malhotra"/>
    <x v="3"/>
    <x v="0"/>
    <x v="18"/>
    <s v="New Delhi"/>
    <x v="2"/>
    <x v="6"/>
    <s v="Pro Copiers 206"/>
    <x v="3"/>
    <n v="9"/>
    <n v="2075.02"/>
    <n v="0"/>
    <n v="18675.18"/>
    <n v="13974.7"/>
    <n v="4700.4799999999996"/>
    <x v="0"/>
    <x v="0"/>
    <s v="March"/>
    <s v="OK"/>
    <s v="OK"/>
    <n v="0"/>
    <n v="1"/>
    <n v="4700.4799999999996"/>
    <n v="18675.18"/>
    <n v="1"/>
    <s v="North"/>
    <s v="Clean"/>
    <s v="Standard Class"/>
  </r>
  <r>
    <s v="Ord-2025-10716"/>
    <x v="66"/>
    <d v="2025-08-27T00:00:00"/>
    <s v="Cust-7446"/>
    <s v="Priya Menon"/>
    <x v="0"/>
    <x v="0"/>
    <x v="16"/>
    <s v="Gurugram"/>
    <x v="1"/>
    <x v="4"/>
    <s v="Max Chairs 372"/>
    <x v="0"/>
    <n v="7"/>
    <n v="2843.09"/>
    <n v="0"/>
    <n v="19901.63"/>
    <n v="15492.03"/>
    <n v="4409.6000000000004"/>
    <x v="1"/>
    <x v="1"/>
    <s v="August"/>
    <s v="OK"/>
    <s v="OK"/>
    <n v="0"/>
    <n v="1"/>
    <n v="4409.6000000000004"/>
    <n v="19901.63"/>
    <n v="5"/>
    <s v="North"/>
    <s v="Clean"/>
    <s v="Second Class"/>
  </r>
  <r>
    <s v="Ord-2025-10717"/>
    <x v="432"/>
    <d v="2025-08-31T00:00:00"/>
    <s v="Cust-7540"/>
    <s v="Diya Patel"/>
    <x v="1"/>
    <x v="0"/>
    <x v="16"/>
    <s v="Gurugram"/>
    <x v="2"/>
    <x v="11"/>
    <s v="Basic Phones 496"/>
    <x v="2"/>
    <n v="1"/>
    <n v="3388.02"/>
    <n v="0.15"/>
    <n v="2879.82"/>
    <n v="1824.88"/>
    <n v="1054.94"/>
    <x v="0"/>
    <x v="0"/>
    <s v="August"/>
    <s v="OK"/>
    <s v="OK"/>
    <n v="0.15"/>
    <n v="1"/>
    <n v="1054.9369999999999"/>
    <n v="2879.817"/>
    <n v="5"/>
    <s v="North"/>
    <s v="Clean"/>
    <s v="First Class"/>
  </r>
  <r>
    <s v="Ord-2025-10718"/>
    <x v="454"/>
    <d v="2025-10-15T00:00:00"/>
    <s v="Cust-8351"/>
    <s v="Kabir Singh"/>
    <x v="1"/>
    <x v="0"/>
    <x v="16"/>
    <s v="Gurugram"/>
    <x v="2"/>
    <x v="12"/>
    <s v="Prime Machines 612"/>
    <x v="3"/>
    <n v="9"/>
    <n v="2598.92"/>
    <n v="0.2"/>
    <n v="18712.22"/>
    <n v="11852.22"/>
    <n v="6860"/>
    <x v="2"/>
    <x v="1"/>
    <s v="October"/>
    <s v="OK"/>
    <s v="OK"/>
    <n v="0.2"/>
    <n v="1"/>
    <n v="6860.003999999999"/>
    <n v="18712.223999999998"/>
    <n v="3"/>
    <s v="North"/>
    <s v="Clean"/>
    <s v="Standard Class"/>
  </r>
  <r>
    <s v="Ord-2024-10719"/>
    <x v="86"/>
    <d v="2024-09-09T00:00:00"/>
    <s v="Cust-3918"/>
    <s v="Mira Das"/>
    <x v="0"/>
    <x v="3"/>
    <x v="3"/>
    <s v="Mumbai"/>
    <x v="0"/>
    <x v="2"/>
    <s v="Smart Art 866"/>
    <x v="1"/>
    <n v="3"/>
    <n v="1972.27"/>
    <n v="0.2"/>
    <n v="4733.45"/>
    <n v="3672.32"/>
    <n v="1061.1300000000001"/>
    <x v="0"/>
    <x v="0"/>
    <s v="September"/>
    <s v="OK"/>
    <s v="OK"/>
    <n v="0.2"/>
    <n v="1"/>
    <n v="1061.1279999999992"/>
    <n v="4733.4479999999994"/>
    <n v="92"/>
    <s v="West"/>
    <s v="Clean"/>
    <s v="Same Day"/>
  </r>
  <r>
    <s v="Ord-2025-10720"/>
    <x v="266"/>
    <d v="2025-09-09T00:00:00"/>
    <s v="Cust-3190"/>
    <s v="Kabir Singh"/>
    <x v="2"/>
    <x v="3"/>
    <x v="12"/>
    <s v="Ahmedabad"/>
    <x v="0"/>
    <x v="2"/>
    <s v="Pro Art 447"/>
    <x v="1"/>
    <n v="2"/>
    <n v="2372.41"/>
    <n v="0.2"/>
    <n v="3795.86"/>
    <n v="2264.92"/>
    <n v="1530.94"/>
    <x v="0"/>
    <x v="0"/>
    <s v="September"/>
    <s v="OK"/>
    <s v="OK"/>
    <n v="0.2"/>
    <n v="1"/>
    <n v="1530.9359999999997"/>
    <n v="3795.8559999999998"/>
    <n v="31"/>
    <s v="West"/>
    <s v="Clean"/>
    <s v="Same Day"/>
  </r>
  <r>
    <s v="Ord-2024-10721"/>
    <x v="366"/>
    <d v="2024-07-16T00:00:00"/>
    <s v="Cust-1991"/>
    <s v="Aditi Sen"/>
    <x v="3"/>
    <x v="3"/>
    <x v="4"/>
    <s v="Indore"/>
    <x v="2"/>
    <x v="6"/>
    <s v="Smart Copiers 196"/>
    <x v="1"/>
    <n v="4"/>
    <n v="4479.92"/>
    <n v="0.15"/>
    <n v="15231.73"/>
    <n v="12451.46"/>
    <n v="2780.27"/>
    <x v="0"/>
    <x v="0"/>
    <s v="July"/>
    <s v="Invalid"/>
    <s v="OK"/>
    <n v="0.15"/>
    <n v="1"/>
    <n v="2780.268"/>
    <n v="15231.727999999999"/>
    <n v="0"/>
    <s v="West"/>
    <s v="Clean"/>
    <s v="Same Day"/>
  </r>
  <r>
    <s v="Ord-2025-10722"/>
    <x v="235"/>
    <d v="2025-06-23T00:00:00"/>
    <s v="Cust-7606"/>
    <s v="Sneha Kapoor"/>
    <x v="0"/>
    <x v="2"/>
    <x v="11"/>
    <s v="Bengaluru"/>
    <x v="2"/>
    <x v="6"/>
    <s v="Pro Copiers 532"/>
    <x v="2"/>
    <n v="5"/>
    <n v="2729.95"/>
    <n v="0"/>
    <n v="13649.75"/>
    <n v="10288.030000000001"/>
    <n v="3361.72"/>
    <x v="0"/>
    <x v="0"/>
    <s v="June"/>
    <s v="OK"/>
    <s v="OK"/>
    <n v="0"/>
    <n v="1"/>
    <n v="3361.7199999999993"/>
    <n v="13649.75"/>
    <n v="4"/>
    <s v="South"/>
    <s v="Clean"/>
    <s v="First Class"/>
  </r>
  <r>
    <s v="Ord-2024-10723"/>
    <x v="372"/>
    <d v="2024-10-10T00:00:00"/>
    <s v="Cust-8844"/>
    <s v="Vikram Iyer"/>
    <x v="0"/>
    <x v="1"/>
    <x v="6"/>
    <s v="Kolkata"/>
    <x v="1"/>
    <x v="4"/>
    <s v="Eco Chairs 442"/>
    <x v="0"/>
    <n v="9"/>
    <n v="481.51"/>
    <m/>
    <n v="4333.59"/>
    <n v="2533.59"/>
    <n v="1800"/>
    <x v="1"/>
    <x v="1"/>
    <s v="October"/>
    <s v="OK"/>
    <s v="OK"/>
    <n v="0"/>
    <n v="1"/>
    <n v="1800"/>
    <n v="4333.59"/>
    <n v="92"/>
    <s v="East"/>
    <s v="Clean"/>
    <s v="Second Class"/>
  </r>
  <r>
    <s v="Ord-2025-10724"/>
    <x v="455"/>
    <d v="2025-10-13T00:00:00"/>
    <s v="Cust-4335"/>
    <s v="Kabir Singh"/>
    <x v="3"/>
    <x v="1"/>
    <x v="15"/>
    <s v="Ranchi"/>
    <x v="2"/>
    <x v="5"/>
    <s v="Eco Accessories 364"/>
    <x v="3"/>
    <n v="6"/>
    <n v="2391.9299999999998"/>
    <n v="0.05"/>
    <n v="13634"/>
    <n v="9589.81"/>
    <n v="4044.19"/>
    <x v="3"/>
    <x v="2"/>
    <s v="October"/>
    <s v="OK"/>
    <s v="OK"/>
    <n v="0.05"/>
    <n v="1"/>
    <n v="4044.1909999999989"/>
    <n v="13634.000999999998"/>
    <n v="125"/>
    <s v="East"/>
    <s v="Clean"/>
    <s v="Standard Class"/>
  </r>
  <r>
    <s v="Ord-2024-10725"/>
    <x v="315"/>
    <d v="2024-02-16T00:00:00"/>
    <s v="Cust-5891"/>
    <s v="Karan Malhotra"/>
    <x v="0"/>
    <x v="3"/>
    <x v="14"/>
    <s v="Panaji"/>
    <x v="1"/>
    <x v="3"/>
    <s v="Elite Furnishings 921"/>
    <x v="0"/>
    <n v="3"/>
    <n v="253.43"/>
    <n v="0"/>
    <n v="760.29"/>
    <n v="497.77"/>
    <n v="262.52"/>
    <x v="0"/>
    <x v="0"/>
    <s v="February"/>
    <s v="Invalid"/>
    <s v="OK"/>
    <n v="0"/>
    <n v="1"/>
    <n v="262.52"/>
    <n v="760.29"/>
    <n v="-229"/>
    <s v="West"/>
    <s v="ivalid"/>
    <s v="Second Class"/>
  </r>
  <r>
    <s v="Ord-2025-10726"/>
    <x v="375"/>
    <d v="2025-10-12T00:00:00"/>
    <s v="Cust-6371"/>
    <s v="Priya Menon"/>
    <x v="2"/>
    <x v="2"/>
    <x v="11"/>
    <s v="Bengaluru"/>
    <x v="1"/>
    <x v="1"/>
    <s v="Max Tables 309"/>
    <x v="0"/>
    <n v="7"/>
    <n v="2134.73"/>
    <n v="0"/>
    <n v="14943.11"/>
    <n v="8521.5"/>
    <n v="6421.61"/>
    <x v="0"/>
    <x v="0"/>
    <s v="October"/>
    <s v="OK"/>
    <s v="OK"/>
    <n v="0"/>
    <n v="1"/>
    <n v="6421.6100000000006"/>
    <n v="14943.11"/>
    <n v="155"/>
    <s v="South"/>
    <s v="Clean"/>
    <s v="Second Class"/>
  </r>
  <r>
    <s v="Ord-2024-10727"/>
    <x v="456"/>
    <d v="2024-01-23T00:00:00"/>
    <s v="Cust-6655"/>
    <s v="Kabir Singh"/>
    <x v="3"/>
    <x v="3"/>
    <x v="12"/>
    <s v="Ahmedabad"/>
    <x v="2"/>
    <x v="11"/>
    <s v="Pro Phones 857"/>
    <x v="3"/>
    <n v="5"/>
    <n v="2018"/>
    <n v="0.2"/>
    <n v="8072"/>
    <n v="5379.22"/>
    <n v="2692.78"/>
    <x v="2"/>
    <x v="2"/>
    <s v="January"/>
    <s v="OK"/>
    <s v="OK"/>
    <n v="0.2"/>
    <n v="1"/>
    <n v="2692.7799999999997"/>
    <n v="8072"/>
    <n v="6"/>
    <s v="West"/>
    <s v="Clean"/>
    <s v="Standard Class"/>
  </r>
  <r>
    <s v="Ord-2024-10728"/>
    <x v="457"/>
    <d v="2024-10-13T00:00:00"/>
    <s v="Cust-6492"/>
    <s v="Aarav Sharma"/>
    <x v="1"/>
    <x v="1"/>
    <x v="10"/>
    <s v="Guwahati"/>
    <x v="2"/>
    <x v="5"/>
    <s v="Max Accessories 567"/>
    <x v="0"/>
    <n v="8"/>
    <n v="3730.66"/>
    <n v="0.05"/>
    <n v="28353.02"/>
    <n v="19257.849999999999"/>
    <n v="9095.17"/>
    <x v="0"/>
    <x v="0"/>
    <s v="October"/>
    <s v="Invalid"/>
    <s v="OK"/>
    <n v="0.05"/>
    <n v="1"/>
    <n v="9095.1659999999974"/>
    <n v="28353.015999999996"/>
    <n v="0"/>
    <s v="East"/>
    <s v="Clean"/>
    <s v="Second Class"/>
  </r>
  <r>
    <s v="Ord-2024-10729"/>
    <x v="425"/>
    <d v="2024-01-07T00:00:00"/>
    <s v="Cust-1154"/>
    <s v="Sneha Kapoor"/>
    <x v="1"/>
    <x v="2"/>
    <x v="11"/>
    <s v="Bengaluru"/>
    <x v="2"/>
    <x v="12"/>
    <s v="Max Machines 200"/>
    <x v="2"/>
    <n v="1"/>
    <n v="2363.02"/>
    <n v="0.15"/>
    <n v="2008.57"/>
    <n v="1194.83"/>
    <n v="813.74"/>
    <x v="0"/>
    <x v="0"/>
    <s v="January"/>
    <s v="Invalid"/>
    <s v="OK"/>
    <n v="0.15"/>
    <n v="1"/>
    <n v="813.73700000000008"/>
    <n v="2008.567"/>
    <n v="-85"/>
    <s v="South"/>
    <s v="ivalid"/>
    <s v="First Class"/>
  </r>
  <r>
    <s v="Ord-2025-10730"/>
    <x v="458"/>
    <d v="2025-05-25T00:00:00"/>
    <s v="Cust-8713"/>
    <s v="Ananya Rao"/>
    <x v="2"/>
    <x v="2"/>
    <x v="17"/>
    <s v="Chennai"/>
    <x v="2"/>
    <x v="12"/>
    <s v="Pro Machines 563"/>
    <x v="1"/>
    <n v="6"/>
    <n v="1810.63"/>
    <n v="0.15"/>
    <n v="9234.2099999999991"/>
    <n v="5516.52"/>
    <n v="3717.69"/>
    <x v="0"/>
    <x v="0"/>
    <s v="May"/>
    <s v="OK"/>
    <s v="OK"/>
    <n v="0.15"/>
    <n v="1"/>
    <n v="3717.6929999999993"/>
    <n v="9234.2129999999997"/>
    <n v="8"/>
    <s v="South"/>
    <s v="Clean"/>
    <s v="Same Day"/>
  </r>
  <r>
    <s v="Ord-2025-10731"/>
    <x v="235"/>
    <d v="2025-06-24T00:00:00"/>
    <s v="Cust-6765"/>
    <s v="Arjun Bose"/>
    <x v="0"/>
    <x v="1"/>
    <x v="6"/>
    <s v="Kolkata"/>
    <x v="0"/>
    <x v="2"/>
    <s v="Elite Art 696"/>
    <x v="0"/>
    <n v="4"/>
    <n v="782.01"/>
    <n v="0.15"/>
    <n v="2658.83"/>
    <n v="2226.9699999999998"/>
    <n v="431.86"/>
    <x v="1"/>
    <x v="2"/>
    <s v="June"/>
    <s v="OK"/>
    <s v="OK"/>
    <n v="0.15"/>
    <n v="1"/>
    <n v="431.86400000000003"/>
    <n v="2658.8339999999998"/>
    <n v="5"/>
    <s v="East"/>
    <s v="Clean"/>
    <s v="Second Class"/>
  </r>
  <r>
    <s v="Ord-2024-10732"/>
    <x v="180"/>
    <d v="2024-03-19T00:00:00"/>
    <s v="Cust-6849"/>
    <s v="Ananya Rao"/>
    <x v="2"/>
    <x v="1"/>
    <x v="1"/>
    <s v="Bhubaneswar"/>
    <x v="0"/>
    <x v="9"/>
    <s v="Eco Binders 178"/>
    <x v="2"/>
    <n v="4"/>
    <n v="4376.68"/>
    <n v="0.1"/>
    <n v="15756.05"/>
    <n v="10245.44"/>
    <n v="5510.61"/>
    <x v="0"/>
    <x v="0"/>
    <s v="March"/>
    <s v="OK"/>
    <s v="OK"/>
    <n v="0.1"/>
    <n v="1"/>
    <n v="5510.6080000000002"/>
    <n v="15756.048000000001"/>
    <n v="2"/>
    <s v="East"/>
    <s v="Clean"/>
    <s v="First Class"/>
  </r>
  <r>
    <s v="Ord-2024-10733"/>
    <x v="3"/>
    <d v="2024-12-06T00:00:00"/>
    <s v="Cust-4973"/>
    <s v="Arjun Bose"/>
    <x v="1"/>
    <x v="0"/>
    <x v="7"/>
    <s v="Ludhiana"/>
    <x v="2"/>
    <x v="11"/>
    <s v="Max Phones 678"/>
    <x v="3"/>
    <n v="6"/>
    <n v="2464.63"/>
    <n v="0"/>
    <n v="14787.78"/>
    <n v="8596.65"/>
    <n v="6191.13"/>
    <x v="0"/>
    <x v="0"/>
    <s v="December"/>
    <s v="OK"/>
    <s v="OK"/>
    <n v="0"/>
    <n v="1"/>
    <n v="6191.130000000001"/>
    <n v="14787.78"/>
    <n v="8"/>
    <s v="North"/>
    <s v="Clean"/>
    <s v="Standard Class"/>
  </r>
  <r>
    <s v="Ord-2024-10734"/>
    <x v="217"/>
    <d v="2024-06-28T00:00:00"/>
    <s v="Cust-2394"/>
    <s v="Aarav Sharma"/>
    <x v="3"/>
    <x v="0"/>
    <x v="0"/>
    <s v="Jaipur"/>
    <x v="1"/>
    <x v="3"/>
    <s v="Classic Furnishings 582"/>
    <x v="2"/>
    <n v="9"/>
    <n v="2797.96"/>
    <n v="0"/>
    <n v="25181.64"/>
    <n v="15337.9"/>
    <n v="9843.74"/>
    <x v="0"/>
    <x v="0"/>
    <s v="June"/>
    <s v="OK"/>
    <s v="OK"/>
    <n v="0"/>
    <n v="1"/>
    <n v="9843.74"/>
    <n v="25181.64"/>
    <n v="7"/>
    <s v="North"/>
    <s v="Clean"/>
    <s v="First Class"/>
  </r>
  <r>
    <s v="Ord-2024-10735"/>
    <x v="459"/>
    <d v="2024-08-24T00:00:00"/>
    <s v="Cust-5406"/>
    <s v="Ananya Rao"/>
    <x v="1"/>
    <x v="0"/>
    <x v="0"/>
    <s v="Jaipur"/>
    <x v="2"/>
    <x v="5"/>
    <s v="Classic Accessories 981"/>
    <x v="2"/>
    <n v="4"/>
    <n v="2761.86"/>
    <n v="0.2"/>
    <n v="8837.9500000000007"/>
    <n v="6157.27"/>
    <n v="2680.68"/>
    <x v="0"/>
    <x v="0"/>
    <s v="August"/>
    <s v="Invalid"/>
    <s v="OK"/>
    <n v="0.2"/>
    <n v="1"/>
    <n v="2680.6820000000007"/>
    <n v="8837.9520000000011"/>
    <n v="0"/>
    <s v="North"/>
    <s v="Clean"/>
    <s v="First Class"/>
  </r>
  <r>
    <s v="Ord-2024-10736"/>
    <x v="357"/>
    <d v="2024-08-19T00:00:00"/>
    <s v="Cust-1963"/>
    <s v="Mira Das"/>
    <x v="0"/>
    <x v="3"/>
    <x v="3"/>
    <s v="Mumbai"/>
    <x v="1"/>
    <x v="1"/>
    <s v="Classic Tables 534"/>
    <x v="3"/>
    <n v="6"/>
    <n v="1515.79"/>
    <n v="0.2"/>
    <n v="7275.79"/>
    <n v="6152.87"/>
    <n v="1122.92"/>
    <x v="0"/>
    <x v="0"/>
    <s v="August"/>
    <s v="Invalid"/>
    <s v="OK"/>
    <n v="0.2"/>
    <n v="1"/>
    <n v="1122.9220000000005"/>
    <n v="7275.7920000000004"/>
    <n v="-81"/>
    <s v="West"/>
    <s v="ivalid"/>
    <s v="Standard Class"/>
  </r>
  <r>
    <s v="Ord-2024-10737"/>
    <x v="403"/>
    <d v="2024-12-09T00:00:00"/>
    <s v="Cust-9017"/>
    <s v="Aditi Sen"/>
    <x v="0"/>
    <x v="3"/>
    <x v="3"/>
    <s v="Mumbai"/>
    <x v="1"/>
    <x v="4"/>
    <s v="Pro Chairs 383"/>
    <x v="0"/>
    <n v="9"/>
    <n v="290.75"/>
    <n v="0.1"/>
    <n v="2355.08"/>
    <n v="1350.03"/>
    <n v="1005.05"/>
    <x v="0"/>
    <x v="0"/>
    <s v="December"/>
    <s v="OK"/>
    <s v="OK"/>
    <n v="0.1"/>
    <n v="1"/>
    <n v="1005.0450000000003"/>
    <n v="2355.0750000000003"/>
    <n v="180"/>
    <s v="West"/>
    <s v="Clean"/>
    <s v="Second Class"/>
  </r>
  <r>
    <s v="Ord-2024-10738"/>
    <x v="315"/>
    <d v="2024-02-10T00:00:00"/>
    <s v="Cust-7967"/>
    <s v="Isha Nair"/>
    <x v="3"/>
    <x v="3"/>
    <x v="3"/>
    <s v="Mumbai"/>
    <x v="1"/>
    <x v="4"/>
    <s v="Max Chairs 845"/>
    <x v="1"/>
    <n v="6"/>
    <n v="601.52"/>
    <n v="0"/>
    <n v="3609.12"/>
    <n v="2645.5"/>
    <n v="963.62"/>
    <x v="0"/>
    <x v="0"/>
    <s v="February"/>
    <s v="Invalid"/>
    <s v="OK"/>
    <n v="0"/>
    <n v="1"/>
    <n v="963.61999999999989"/>
    <n v="3609.12"/>
    <n v="-235"/>
    <s v="West"/>
    <s v="ivalid"/>
    <s v="Same Day"/>
  </r>
  <r>
    <s v="Ord-2025-10739"/>
    <x v="143"/>
    <d v="2025-02-22T00:00:00"/>
    <s v="Cust-5334"/>
    <s v="Priya Menon"/>
    <x v="2"/>
    <x v="2"/>
    <x v="13"/>
    <s v="Kochi"/>
    <x v="0"/>
    <x v="0"/>
    <s v="Prime Paper 307"/>
    <x v="2"/>
    <n v="1"/>
    <n v="2188.19"/>
    <n v="0"/>
    <n v="2188.19"/>
    <n v="1298.8399999999999"/>
    <n v="889.35"/>
    <x v="0"/>
    <x v="0"/>
    <s v="February"/>
    <s v="OK"/>
    <s v="OK"/>
    <n v="0"/>
    <n v="1"/>
    <n v="889.35000000000014"/>
    <n v="2188.19"/>
    <n v="2"/>
    <s v="South"/>
    <s v="Clean"/>
    <s v="First Class"/>
  </r>
  <r>
    <s v="Ord-2024-10740"/>
    <x v="460"/>
    <d v="2024-10-12T00:00:00"/>
    <s v="Cust-5846"/>
    <s v="Neha Gupta"/>
    <x v="2"/>
    <x v="0"/>
    <x v="0"/>
    <s v="Jaipur"/>
    <x v="2"/>
    <x v="11"/>
    <s v="Basic Phones 859"/>
    <x v="3"/>
    <n v="5"/>
    <n v="2393.86"/>
    <n v="0.05"/>
    <n v="11370.84"/>
    <n v="7469.58"/>
    <n v="3901.26"/>
    <x v="0"/>
    <x v="0"/>
    <s v="October"/>
    <s v="OK"/>
    <s v="OK"/>
    <n v="0.05"/>
    <n v="1"/>
    <n v="3901.255000000001"/>
    <n v="11370.835000000001"/>
    <n v="214"/>
    <s v="North"/>
    <s v="Clean"/>
    <s v="Standard Class"/>
  </r>
  <r>
    <s v="Ord-2024-10741"/>
    <x v="157"/>
    <d v="2024-02-04T00:00:00"/>
    <s v="Cust-7932"/>
    <s v="Sneha Kapoor"/>
    <x v="1"/>
    <x v="3"/>
    <x v="3"/>
    <s v="Mumbai"/>
    <x v="1"/>
    <x v="4"/>
    <s v="Eco Chairs 883"/>
    <x v="2"/>
    <n v="4"/>
    <n v="2583"/>
    <n v="0.1"/>
    <n v="9298.7999999999993"/>
    <n v="6548.5"/>
    <n v="2750.3"/>
    <x v="0"/>
    <x v="0"/>
    <s v="February"/>
    <s v="Invalid"/>
    <s v="OK"/>
    <n v="0.1"/>
    <n v="1"/>
    <n v="2750.3000000000011"/>
    <n v="9298.8000000000011"/>
    <n v="0"/>
    <s v="West"/>
    <s v="Clean"/>
    <s v="First Class"/>
  </r>
  <r>
    <s v="Ord-2025-10742"/>
    <x v="461"/>
    <d v="2025-04-25T00:00:00"/>
    <s v="Cust-3285"/>
    <s v="Isha Nair"/>
    <x v="3"/>
    <x v="2"/>
    <x v="17"/>
    <s v="Chennai"/>
    <x v="1"/>
    <x v="4"/>
    <s v="Max Chairs 706"/>
    <x v="0"/>
    <n v="3"/>
    <n v="2951.12"/>
    <m/>
    <n v="7082.69"/>
    <n v="5596.34"/>
    <n v="1486.35"/>
    <x v="0"/>
    <x v="1"/>
    <s v="April"/>
    <s v="OK"/>
    <s v="OK"/>
    <n v="0"/>
    <n v="1"/>
    <n v="3257.0200000000004"/>
    <n v="8853.36"/>
    <n v="2"/>
    <s v="South"/>
    <s v="Clean"/>
    <s v="Second Class"/>
  </r>
  <r>
    <s v="Ord-2024-10743"/>
    <x v="399"/>
    <d v="2024-10-22T00:00:00"/>
    <s v="Cust-6368"/>
    <s v="Karan Malhotra"/>
    <x v="2"/>
    <x v="1"/>
    <x v="1"/>
    <s v="Bhubaneswar"/>
    <x v="0"/>
    <x v="0"/>
    <s v="Prime Paper 768"/>
    <x v="3"/>
    <n v="4"/>
    <n v="2260.9499999999998"/>
    <n v="0"/>
    <n v="9043.7999999999993"/>
    <n v="5913.38"/>
    <n v="3130.42"/>
    <x v="0"/>
    <x v="0"/>
    <s v="October"/>
    <s v="OK"/>
    <s v="OK"/>
    <n v="0"/>
    <n v="1"/>
    <n v="3130.4199999999992"/>
    <n v="9043.7999999999993"/>
    <n v="7"/>
    <s v="East"/>
    <s v="Clean"/>
    <s v="Standard Class"/>
  </r>
  <r>
    <s v="Ord-2025-10744"/>
    <x v="285"/>
    <d v="2025-02-14T00:00:00"/>
    <s v="Cust-6231"/>
    <s v="Sneha Kapoor"/>
    <x v="0"/>
    <x v="0"/>
    <x v="8"/>
    <s v="Noida"/>
    <x v="0"/>
    <x v="2"/>
    <s v="Basic Art 764"/>
    <x v="3"/>
    <n v="6"/>
    <n v="491.4"/>
    <n v="0.25"/>
    <n v="2211.3000000000002"/>
    <n v="1735.64"/>
    <n v="475.66"/>
    <x v="0"/>
    <x v="0"/>
    <s v="February"/>
    <s v="Invalid"/>
    <s v="OK"/>
    <n v="0.25"/>
    <n v="1"/>
    <n v="475.65999999999963"/>
    <n v="2211.2999999999997"/>
    <n v="-291"/>
    <s v="North"/>
    <s v="ivalid"/>
    <s v="Standard Class"/>
  </r>
  <r>
    <s v="Ord-2025-10745"/>
    <x v="224"/>
    <d v="2025-08-20T00:00:00"/>
    <s v="Cust-2021"/>
    <s v="Mira Das"/>
    <x v="3"/>
    <x v="0"/>
    <x v="7"/>
    <s v="Ludhiana"/>
    <x v="0"/>
    <x v="9"/>
    <s v="Prime Binders 181"/>
    <x v="2"/>
    <n v="5"/>
    <n v="2701.89"/>
    <n v="0.1"/>
    <n v="12158.5"/>
    <n v="10260.07"/>
    <n v="1898.43"/>
    <x v="0"/>
    <x v="1"/>
    <s v="August"/>
    <s v="OK"/>
    <s v="OK"/>
    <n v="0.1"/>
    <n v="1"/>
    <n v="1898.4349999999995"/>
    <n v="12158.504999999999"/>
    <n v="3"/>
    <s v="North"/>
    <s v="Clean"/>
    <s v="First Class"/>
  </r>
  <r>
    <s v="Ord-2024-10746"/>
    <x v="462"/>
    <d v="2024-10-28T00:00:00"/>
    <s v="Cust-1493"/>
    <s v="Mira Das"/>
    <x v="1"/>
    <x v="1"/>
    <x v="10"/>
    <s v="Guwahati"/>
    <x v="2"/>
    <x v="6"/>
    <s v="Max Copiers 866"/>
    <x v="3"/>
    <n v="3"/>
    <n v="723.59"/>
    <n v="0.2"/>
    <n v="1736.62"/>
    <n v="1059.52"/>
    <n v="677.1"/>
    <x v="0"/>
    <x v="0"/>
    <s v="October"/>
    <s v="OK"/>
    <s v="OK"/>
    <n v="0.2"/>
    <n v="1"/>
    <n v="677.096"/>
    <n v="1736.616"/>
    <n v="4"/>
    <s v="East"/>
    <s v="Clean"/>
    <s v="Standard Class"/>
  </r>
  <r>
    <s v="Ord-2025-10747"/>
    <x v="182"/>
    <d v="2025-01-10T00:00:00"/>
    <s v="Cust-2314"/>
    <s v="Aarav Sharma"/>
    <x v="3"/>
    <x v="1"/>
    <x v="6"/>
    <s v="Kolkata"/>
    <x v="0"/>
    <x v="0"/>
    <s v="Pro Paper 662"/>
    <x v="3"/>
    <n v="4"/>
    <n v="2583.19"/>
    <n v="0.2"/>
    <n v="8266.2099999999991"/>
    <n v="6236.32"/>
    <n v="2029.89"/>
    <x v="0"/>
    <x v="0"/>
    <s v="January"/>
    <s v="Invalid"/>
    <s v="OK"/>
    <n v="0.2"/>
    <n v="1"/>
    <n v="2029.8880000000008"/>
    <n v="8266.2080000000005"/>
    <n v="-81"/>
    <s v="East"/>
    <s v="ivalid"/>
    <s v="Standard Class"/>
  </r>
  <r>
    <s v="Ord-2024-10748"/>
    <x v="243"/>
    <d v="2024-05-07T00:00:00"/>
    <s v="Cust-8416"/>
    <s v="Isha Nair"/>
    <x v="3"/>
    <x v="1"/>
    <x v="1"/>
    <s v="Bhubaneswar"/>
    <x v="0"/>
    <x v="0"/>
    <s v="Classic Paper 388"/>
    <x v="1"/>
    <n v="8"/>
    <n v="1473.83"/>
    <n v="0.15"/>
    <n v="10022.040000000001"/>
    <n v="5576.98"/>
    <n v="4445.0600000000004"/>
    <x v="0"/>
    <x v="0"/>
    <s v="May"/>
    <s v="OK"/>
    <s v="OK"/>
    <n v="0.15"/>
    <n v="1"/>
    <n v="4445.0640000000003"/>
    <n v="10022.044"/>
    <n v="123"/>
    <s v="East"/>
    <s v="Clean"/>
    <s v="Same Day"/>
  </r>
  <r>
    <s v="Ord-2024-10749"/>
    <x v="463"/>
    <d v="2024-05-30T00:00:00"/>
    <s v="Cust-3103"/>
    <s v="Diya Patel"/>
    <x v="3"/>
    <x v="0"/>
    <x v="16"/>
    <s v="Gurugram"/>
    <x v="2"/>
    <x v="11"/>
    <s v="Pro Phones 765"/>
    <x v="0"/>
    <n v="1"/>
    <n v="3848.04"/>
    <n v="0.25"/>
    <n v="2886.03"/>
    <n v="2064.83"/>
    <n v="821.2"/>
    <x v="0"/>
    <x v="0"/>
    <s v="May"/>
    <s v="Invalid"/>
    <s v="OK"/>
    <n v="0.25"/>
    <n v="1"/>
    <n v="821.19999999999982"/>
    <n v="2886.0299999999997"/>
    <n v="0"/>
    <s v="North"/>
    <s v="Clean"/>
    <s v="Second Class"/>
  </r>
  <r>
    <s v="Ord-2024-10750"/>
    <x v="464"/>
    <d v="2024-03-25T00:00:00"/>
    <s v="Cust-4457"/>
    <s v="Aditi Sen"/>
    <x v="3"/>
    <x v="1"/>
    <x v="10"/>
    <s v="Guwahati"/>
    <x v="2"/>
    <x v="12"/>
    <s v="Classic Machines 543"/>
    <x v="3"/>
    <n v="1"/>
    <n v="1716.7"/>
    <n v="0.15"/>
    <n v="1459.19"/>
    <n v="1055.79"/>
    <n v="403.4"/>
    <x v="0"/>
    <x v="0"/>
    <s v="March"/>
    <s v="OK"/>
    <s v="OK"/>
    <n v="0.15"/>
    <n v="1"/>
    <n v="403.40499999999997"/>
    <n v="1459.1949999999999"/>
    <n v="4"/>
    <s v="East"/>
    <s v="Clean"/>
    <s v="Standard Class"/>
  </r>
  <r>
    <s v="Ord-2025-10751"/>
    <x v="465"/>
    <d v="2025-06-02T00:00:00"/>
    <s v="Cust-7036"/>
    <s v="Aarav Sharma"/>
    <x v="3"/>
    <x v="2"/>
    <x v="2"/>
    <s v="Hyderabad"/>
    <x v="2"/>
    <x v="5"/>
    <s v="Max Accessories 291"/>
    <x v="2"/>
    <n v="8"/>
    <n v="3925.93"/>
    <n v="0.15"/>
    <n v="26696.32"/>
    <n v="22724.52"/>
    <n v="3971.8"/>
    <x v="0"/>
    <x v="0"/>
    <s v="June"/>
    <s v="OK"/>
    <s v="OK"/>
    <n v="0.15"/>
    <n v="1"/>
    <n v="3971.8039999999964"/>
    <n v="26696.323999999997"/>
    <n v="116"/>
    <s v="South"/>
    <s v="Clean"/>
    <s v="First Class"/>
  </r>
  <r>
    <s v="Ord-2025-10752"/>
    <x v="370"/>
    <d v="2025-07-19T00:00:00"/>
    <s v="Cust-8512"/>
    <s v="Priya Menon"/>
    <x v="3"/>
    <x v="4"/>
    <x v="8"/>
    <s v="Noida"/>
    <x v="2"/>
    <x v="12"/>
    <s v="Eco Machines 414"/>
    <x v="4"/>
    <n v="3"/>
    <n v="2963.25"/>
    <n v="0.05"/>
    <n v="8445.26"/>
    <n v="6937.6"/>
    <n v="1507.66"/>
    <x v="0"/>
    <x v="0"/>
    <s v="July"/>
    <s v="OK"/>
    <s v="OK"/>
    <n v="0.05"/>
    <n v="1"/>
    <n v="1507.6624999999985"/>
    <n v="8445.2624999999989"/>
    <n v="1"/>
    <s v="Unknown"/>
    <s v="Clean"/>
    <s v="Unknown"/>
  </r>
  <r>
    <s v="Ord-2024-10753"/>
    <x v="82"/>
    <d v="2024-03-27T00:00:00"/>
    <s v="Cust-6345"/>
    <s v="Aditi Sen"/>
    <x v="2"/>
    <x v="3"/>
    <x v="12"/>
    <s v="Ahmedabad"/>
    <x v="0"/>
    <x v="8"/>
    <s v="Basic Storage 273"/>
    <x v="2"/>
    <n v="5"/>
    <n v="2465.2199999999998"/>
    <n v="0.05"/>
    <n v="11709.79"/>
    <n v="8372.2900000000009"/>
    <n v="3337.5"/>
    <x v="0"/>
    <x v="0"/>
    <s v="March"/>
    <s v="OK"/>
    <s v="OK"/>
    <n v="0.05"/>
    <n v="1"/>
    <n v="3337.5049999999974"/>
    <n v="11709.794999999998"/>
    <n v="3"/>
    <s v="West"/>
    <s v="Clean"/>
    <s v="First Class"/>
  </r>
  <r>
    <s v="Ord-2024-10754"/>
    <x v="357"/>
    <d v="2024-08-10T00:00:00"/>
    <s v="Cust-4505"/>
    <s v="Aditi Sen"/>
    <x v="2"/>
    <x v="0"/>
    <x v="18"/>
    <s v="New Delhi"/>
    <x v="1"/>
    <x v="3"/>
    <s v="Elite Furnishings 588"/>
    <x v="0"/>
    <n v="3"/>
    <n v="1017.22"/>
    <n v="0.15"/>
    <n v="2593.91"/>
    <n v="1848.48"/>
    <n v="745.43"/>
    <x v="3"/>
    <x v="2"/>
    <s v="August"/>
    <s v="Invalid"/>
    <s v="OK"/>
    <n v="0.15"/>
    <n v="1"/>
    <n v="745.43099999999959"/>
    <n v="2593.9109999999996"/>
    <n v="-90"/>
    <s v="North"/>
    <s v="ivalid"/>
    <s v="Second Class"/>
  </r>
  <r>
    <s v="Ord-2025-10755"/>
    <x v="196"/>
    <d v="2025-04-06T00:00:00"/>
    <s v="Cust-7960"/>
    <s v="Neha Gupta"/>
    <x v="2"/>
    <x v="2"/>
    <x v="13"/>
    <s v="Kochi"/>
    <x v="0"/>
    <x v="8"/>
    <s v="Elite Storage 857"/>
    <x v="3"/>
    <n v="4"/>
    <n v="891.34"/>
    <n v="0.25"/>
    <n v="2674.02"/>
    <n v="2207.5700000000002"/>
    <n v="466.45"/>
    <x v="0"/>
    <x v="0"/>
    <s v="April"/>
    <s v="Invalid"/>
    <s v="OK"/>
    <n v="0.25"/>
    <n v="1"/>
    <n v="466.44999999999982"/>
    <n v="2674.02"/>
    <n v="0"/>
    <s v="South"/>
    <s v="Clean"/>
    <s v="Standard Class"/>
  </r>
  <r>
    <s v="Ord-2025-10756"/>
    <x v="172"/>
    <d v="2025-07-24T00:00:00"/>
    <s v="Cust-3365"/>
    <s v="Priya Menon"/>
    <x v="3"/>
    <x v="3"/>
    <x v="4"/>
    <s v="Indore"/>
    <x v="0"/>
    <x v="8"/>
    <s v="Prime Storage 183"/>
    <x v="0"/>
    <n v="5"/>
    <n v="2481.7399999999998"/>
    <n v="0.2"/>
    <n v="9926.9599999999991"/>
    <n v="7994.98"/>
    <n v="1931.98"/>
    <x v="0"/>
    <x v="0"/>
    <s v="July"/>
    <s v="OK"/>
    <s v="OK"/>
    <n v="0.2"/>
    <n v="1"/>
    <n v="1931.9799999999996"/>
    <n v="9926.9599999999991"/>
    <n v="4"/>
    <s v="West"/>
    <s v="Clean"/>
    <s v="Second Class"/>
  </r>
  <r>
    <s v="Ord-2024-10757"/>
    <x v="466"/>
    <d v="2024-01-11T00:00:00"/>
    <s v="Cust-1557"/>
    <s v="Rohan Mehta"/>
    <x v="0"/>
    <x v="0"/>
    <x v="0"/>
    <s v="Jaipur"/>
    <x v="2"/>
    <x v="5"/>
    <s v="Smart Accessories 362"/>
    <x v="1"/>
    <n v="7"/>
    <n v="2177.1"/>
    <n v="0.2"/>
    <n v="12191.76"/>
    <n v="10457.49"/>
    <n v="1734.27"/>
    <x v="0"/>
    <x v="2"/>
    <s v="January"/>
    <s v="Invalid"/>
    <s v="OK"/>
    <n v="0.2"/>
    <n v="1"/>
    <n v="1734.2700000000004"/>
    <n v="12191.76"/>
    <n v="-290"/>
    <s v="North"/>
    <s v="ivalid"/>
    <s v="Same Day"/>
  </r>
  <r>
    <s v="Ord-2025-10758"/>
    <x v="208"/>
    <d v="2025-08-03T00:00:00"/>
    <s v="Cust-3058"/>
    <s v="Aditi Sen"/>
    <x v="1"/>
    <x v="2"/>
    <x v="13"/>
    <s v="Kochi"/>
    <x v="1"/>
    <x v="10"/>
    <s v="Classic Bookcases 310"/>
    <x v="3"/>
    <n v="3"/>
    <n v="1904.78"/>
    <n v="0.25"/>
    <n v="4285.76"/>
    <n v="2386.33"/>
    <n v="1899.43"/>
    <x v="3"/>
    <x v="1"/>
    <s v="August"/>
    <s v="OK"/>
    <s v="OK"/>
    <n v="0.25"/>
    <n v="1"/>
    <n v="1899.4250000000002"/>
    <n v="4285.7550000000001"/>
    <n v="207"/>
    <s v="South"/>
    <s v="Clean"/>
    <s v="Standard Class"/>
  </r>
  <r>
    <s v="Ord-2024-10759"/>
    <x v="195"/>
    <d v="2024-05-10T00:00:00"/>
    <s v="Cust-6076"/>
    <s v="Aarav Sharma"/>
    <x v="1"/>
    <x v="2"/>
    <x v="11"/>
    <s v="Bengaluru"/>
    <x v="1"/>
    <x v="4"/>
    <s v="Prime Chairs 721"/>
    <x v="3"/>
    <n v="1"/>
    <n v="4166.91"/>
    <n v="0"/>
    <n v="4166.91"/>
    <n v="3412.63"/>
    <n v="754.28"/>
    <x v="0"/>
    <x v="0"/>
    <s v="May"/>
    <s v="OK"/>
    <s v="OK"/>
    <n v="0"/>
    <n v="1"/>
    <n v="754.27999999999975"/>
    <n v="4166.91"/>
    <n v="95"/>
    <s v="South"/>
    <s v="Clean"/>
    <s v="Standard Class"/>
  </r>
  <r>
    <s v="Ord-2024-10760"/>
    <x v="43"/>
    <d v="2024-07-26T00:00:00"/>
    <s v="Cust-2098"/>
    <s v="Arjun Bose"/>
    <x v="3"/>
    <x v="2"/>
    <x v="11"/>
    <s v="Bengaluru"/>
    <x v="1"/>
    <x v="1"/>
    <s v="Prime Tables 797"/>
    <x v="0"/>
    <n v="5"/>
    <n v="3986.01"/>
    <n v="0.25"/>
    <n v="14947.54"/>
    <n v="9438.4599999999991"/>
    <n v="5509.08"/>
    <x v="0"/>
    <x v="0"/>
    <s v="July"/>
    <s v="OK"/>
    <s v="OK"/>
    <n v="0.25"/>
    <n v="1"/>
    <n v="5509.0775000000031"/>
    <n v="14947.537500000002"/>
    <n v="7"/>
    <s v="South"/>
    <s v="Clean"/>
    <s v="Second Class"/>
  </r>
  <r>
    <s v="Ord-2024-10761"/>
    <x v="467"/>
    <d v="2024-09-02T00:00:00"/>
    <s v="Cust-7193"/>
    <s v="Aditi Sen"/>
    <x v="3"/>
    <x v="1"/>
    <x v="10"/>
    <s v="Guwahati"/>
    <x v="0"/>
    <x v="2"/>
    <s v="Max Art 926"/>
    <x v="0"/>
    <n v="4"/>
    <n v="3365.53"/>
    <n v="0"/>
    <n v="13462.12"/>
    <n v="7600.63"/>
    <n v="5861.49"/>
    <x v="2"/>
    <x v="2"/>
    <s v="September"/>
    <s v="OK"/>
    <s v="OK"/>
    <n v="0"/>
    <n v="1"/>
    <n v="5861.4900000000007"/>
    <n v="13462.12"/>
    <n v="5"/>
    <s v="East"/>
    <s v="Clean"/>
    <s v="Second Class"/>
  </r>
  <r>
    <s v="Ord-2025-10762"/>
    <x v="468"/>
    <d v="2025-08-31T00:00:00"/>
    <s v="Cust-8948"/>
    <s v="Isha Nair"/>
    <x v="0"/>
    <x v="2"/>
    <x v="11"/>
    <s v="Bengaluru"/>
    <x v="2"/>
    <x v="12"/>
    <s v="Max Machines 364"/>
    <x v="2"/>
    <n v="3"/>
    <n v="2489.12"/>
    <n v="0"/>
    <n v="7467.36"/>
    <n v="5010.6099999999997"/>
    <n v="2456.75"/>
    <x v="0"/>
    <x v="0"/>
    <s v="August"/>
    <s v="OK"/>
    <s v="OK"/>
    <n v="0"/>
    <n v="1"/>
    <n v="2456.75"/>
    <n v="7467.36"/>
    <n v="4"/>
    <s v="South"/>
    <s v="Clean"/>
    <s v="First Class"/>
  </r>
  <r>
    <s v="Ord-2024-10763"/>
    <x v="469"/>
    <d v="2024-01-05T00:00:00"/>
    <s v="Cust-6921"/>
    <s v="Diya Patel"/>
    <x v="2"/>
    <x v="3"/>
    <x v="4"/>
    <s v="Indore"/>
    <x v="2"/>
    <x v="12"/>
    <s v="Classic Machines 122"/>
    <x v="0"/>
    <n v="2"/>
    <n v="3694.12"/>
    <n v="0.2"/>
    <n v="5910.59"/>
    <n v="4775.4399999999996"/>
    <n v="1135.1500000000001"/>
    <x v="1"/>
    <x v="2"/>
    <s v="January"/>
    <s v="OK"/>
    <s v="OK"/>
    <n v="0.2"/>
    <n v="1"/>
    <n v="1135.152000000001"/>
    <n v="5910.5920000000006"/>
    <n v="4"/>
    <s v="West"/>
    <s v="Clean"/>
    <s v="Second Class"/>
  </r>
  <r>
    <s v="Ord-2025-10764"/>
    <x v="100"/>
    <d v="2025-08-25T00:00:00"/>
    <s v="Cust-4086"/>
    <s v="Diya Patel"/>
    <x v="0"/>
    <x v="0"/>
    <x v="0"/>
    <s v="Jaipur"/>
    <x v="1"/>
    <x v="3"/>
    <s v="Elite Furnishings 169"/>
    <x v="1"/>
    <n v="6"/>
    <n v="2742.48"/>
    <n v="0"/>
    <n v="16454.88"/>
    <n v="12081.54"/>
    <n v="4373.34"/>
    <x v="0"/>
    <x v="0"/>
    <s v="August"/>
    <s v="OK"/>
    <s v="OK"/>
    <n v="0"/>
    <n v="1"/>
    <n v="4373.34"/>
    <n v="16454.88"/>
    <n v="2"/>
    <s v="North"/>
    <s v="Clean"/>
    <s v="Same Day"/>
  </r>
  <r>
    <s v="Ord-2025-10765"/>
    <x v="278"/>
    <d v="2025-04-13T00:00:00"/>
    <s v="Cust-5174"/>
    <s v="Priya Menon"/>
    <x v="2"/>
    <x v="2"/>
    <x v="13"/>
    <s v="Kochi"/>
    <x v="1"/>
    <x v="10"/>
    <s v="Pro Bookcases 615"/>
    <x v="2"/>
    <n v="6"/>
    <n v="4414"/>
    <n v="0.05"/>
    <n v="25159.8"/>
    <n v="21606.83"/>
    <n v="3552.97"/>
    <x v="0"/>
    <x v="0"/>
    <s v="April"/>
    <s v="Invalid"/>
    <s v="OK"/>
    <n v="0.05"/>
    <n v="1"/>
    <n v="3552.9699999999975"/>
    <n v="25159.8"/>
    <n v="0"/>
    <s v="South"/>
    <s v="Clean"/>
    <s v="First Class"/>
  </r>
  <r>
    <s v="Ord-2025-10766"/>
    <x v="176"/>
    <d v="2025-07-03T00:00:00"/>
    <s v="Cust-8747"/>
    <s v="Vikram Iyer"/>
    <x v="2"/>
    <x v="1"/>
    <x v="15"/>
    <s v="Ranchi"/>
    <x v="0"/>
    <x v="7"/>
    <s v="Max Labels 136"/>
    <x v="2"/>
    <n v="3"/>
    <n v="608.14"/>
    <n v="0"/>
    <n v="1824.42"/>
    <n v="1214.8699999999999"/>
    <n v="609.54999999999995"/>
    <x v="0"/>
    <x v="0"/>
    <s v="July"/>
    <s v="OK"/>
    <s v="OK"/>
    <n v="0"/>
    <n v="1"/>
    <n v="609.55000000000018"/>
    <n v="1824.42"/>
    <n v="4"/>
    <s v="East"/>
    <s v="Clean"/>
    <s v="First Class"/>
  </r>
  <r>
    <s v="Ord-2024-10767"/>
    <x v="381"/>
    <d v="2024-09-24T00:00:00"/>
    <s v="Cust-3156"/>
    <s v="Mira Das"/>
    <x v="2"/>
    <x v="3"/>
    <x v="12"/>
    <s v="Ahmedabad"/>
    <x v="0"/>
    <x v="2"/>
    <s v="Prime Art 380"/>
    <x v="0"/>
    <n v="9"/>
    <n v="2307.96"/>
    <n v="0.2"/>
    <n v="16617.310000000001"/>
    <n v="9195.73"/>
    <n v="7421.58"/>
    <x v="0"/>
    <x v="1"/>
    <s v="September"/>
    <s v="OK"/>
    <s v="OK"/>
    <n v="0.2"/>
    <n v="1"/>
    <n v="7421.5820000000022"/>
    <n v="16617.312000000002"/>
    <n v="7"/>
    <s v="West"/>
    <s v="Clean"/>
    <s v="Second Class"/>
  </r>
  <r>
    <s v="Ord-2024-10768"/>
    <x v="470"/>
    <d v="2024-06-05T00:00:00"/>
    <s v="Cust-2043"/>
    <s v="Ananya Rao"/>
    <x v="3"/>
    <x v="0"/>
    <x v="8"/>
    <s v="Noida"/>
    <x v="0"/>
    <x v="9"/>
    <s v="Classic Binders 234"/>
    <x v="3"/>
    <n v="1"/>
    <n v="1244.58"/>
    <n v="0.25"/>
    <n v="933.43"/>
    <n v="583.09"/>
    <n v="350.34"/>
    <x v="0"/>
    <x v="0"/>
    <s v="June"/>
    <s v="OK"/>
    <s v="OK"/>
    <n v="0.25"/>
    <n v="1"/>
    <n v="350.34499999999991"/>
    <n v="933.43499999999995"/>
    <n v="92"/>
    <s v="North"/>
    <s v="Clean"/>
    <s v="Standard Class"/>
  </r>
  <r>
    <s v="Ord-2025-10769"/>
    <x v="389"/>
    <d v="2025-04-04T00:00:00"/>
    <s v="Cust-8808"/>
    <s v="Sneha Kapoor"/>
    <x v="3"/>
    <x v="1"/>
    <x v="15"/>
    <s v="Ranchi"/>
    <x v="0"/>
    <x v="0"/>
    <s v="Classic Paper 280"/>
    <x v="1"/>
    <n v="5"/>
    <n v="3234.24"/>
    <n v="0.1"/>
    <n v="14554.08"/>
    <n v="11166.84"/>
    <n v="3387.24"/>
    <x v="0"/>
    <x v="0"/>
    <s v="April"/>
    <s v="OK"/>
    <s v="OK"/>
    <n v="0.1"/>
    <n v="1"/>
    <n v="3387.24"/>
    <n v="14554.08"/>
    <n v="59"/>
    <s v="East"/>
    <s v="Clean"/>
    <s v="Same Day"/>
  </r>
  <r>
    <s v="Ord-2024-10770"/>
    <x v="471"/>
    <d v="2024-05-13T00:00:00"/>
    <s v="Cust-1293"/>
    <s v="Priya Menon"/>
    <x v="3"/>
    <x v="3"/>
    <x v="14"/>
    <s v="Panaji"/>
    <x v="1"/>
    <x v="10"/>
    <s v="Classic Bookcases 922"/>
    <x v="1"/>
    <n v="3"/>
    <n v="3612.75"/>
    <n v="0.25"/>
    <n v="8128.69"/>
    <n v="5071.66"/>
    <n v="3057.03"/>
    <x v="0"/>
    <x v="0"/>
    <s v="May"/>
    <s v="Invalid"/>
    <s v="OK"/>
    <n v="0.25"/>
    <n v="1"/>
    <n v="3057.0275000000001"/>
    <n v="8128.6875"/>
    <n v="-176"/>
    <s v="West"/>
    <s v="ivalid"/>
    <s v="Same Day"/>
  </r>
  <r>
    <s v="Ord-2024-10771"/>
    <x v="107"/>
    <d v="2024-02-17T00:00:00"/>
    <s v="Cust-8384"/>
    <s v="Neha Gupta"/>
    <x v="0"/>
    <x v="0"/>
    <x v="8"/>
    <s v="Noida"/>
    <x v="2"/>
    <x v="6"/>
    <s v="Eco Copiers 396"/>
    <x v="2"/>
    <n v="4"/>
    <n v="863"/>
    <m/>
    <n v="3106.8"/>
    <n v="2376.62"/>
    <n v="730.18"/>
    <x v="0"/>
    <x v="0"/>
    <s v="February"/>
    <s v="OK"/>
    <s v="OK"/>
    <n v="0"/>
    <n v="1"/>
    <n v="1075.3800000000001"/>
    <n v="3452"/>
    <n v="2"/>
    <s v="North"/>
    <s v="Clean"/>
    <s v="First Class"/>
  </r>
  <r>
    <s v="Ord-2024-10772"/>
    <x v="452"/>
    <d v="2024-07-14T00:00:00"/>
    <s v="Cust-7861"/>
    <s v="Ananya Rao"/>
    <x v="0"/>
    <x v="0"/>
    <x v="16"/>
    <s v="Gurugram"/>
    <x v="2"/>
    <x v="12"/>
    <s v="Basic Machines 401"/>
    <x v="0"/>
    <n v="4"/>
    <n v="2131.41"/>
    <m/>
    <n v="6394.23"/>
    <n v="3520.69"/>
    <n v="2873.54"/>
    <x v="0"/>
    <x v="0"/>
    <s v="July"/>
    <s v="Invalid"/>
    <s v="OK"/>
    <n v="0"/>
    <n v="1"/>
    <n v="5004.9499999999989"/>
    <n v="8525.64"/>
    <n v="-146"/>
    <s v="North"/>
    <s v="ivalid"/>
    <s v="Second Class"/>
  </r>
  <r>
    <s v="Ord-2025-10773"/>
    <x v="18"/>
    <d v="2025-07-19T00:00:00"/>
    <s v="Cust-8422"/>
    <s v="Diya Patel"/>
    <x v="0"/>
    <x v="2"/>
    <x v="17"/>
    <s v="Chennai"/>
    <x v="1"/>
    <x v="4"/>
    <s v="Basic Chairs 279"/>
    <x v="1"/>
    <n v="1"/>
    <n v="3903.22"/>
    <n v="0.05"/>
    <n v="3708.06"/>
    <n v="2760.29"/>
    <n v="947.77"/>
    <x v="2"/>
    <x v="1"/>
    <s v="July"/>
    <s v="OK"/>
    <s v="OK"/>
    <n v="0.05"/>
    <n v="1"/>
    <n v="947.76899999999978"/>
    <n v="3708.0589999999997"/>
    <n v="4"/>
    <s v="South"/>
    <s v="Clean"/>
    <s v="Same Day"/>
  </r>
  <r>
    <s v="Ord-2025-10774"/>
    <x v="270"/>
    <d v="2025-02-21T00:00:00"/>
    <s v="Cust-4766"/>
    <s v="Karan Malhotra"/>
    <x v="3"/>
    <x v="3"/>
    <x v="12"/>
    <s v="Ahmedabad"/>
    <x v="2"/>
    <x v="11"/>
    <s v="Basic Phones 753"/>
    <x v="4"/>
    <n v="4"/>
    <n v="2945.07"/>
    <n v="0.2"/>
    <n v="9424.2199999999993"/>
    <n v="6178.92"/>
    <n v="3245.3"/>
    <x v="0"/>
    <x v="0"/>
    <s v="February"/>
    <s v="Invalid"/>
    <s v="OK"/>
    <n v="0.2"/>
    <n v="1"/>
    <n v="3245.3040000000001"/>
    <n v="9424.2240000000002"/>
    <n v="0"/>
    <s v="West"/>
    <s v="Clean"/>
    <s v="Unknown"/>
  </r>
  <r>
    <s v="Ord-2025-10775"/>
    <x v="72"/>
    <d v="2025-08-07T00:00:00"/>
    <s v="Cust-1182"/>
    <s v="Kabir Singh"/>
    <x v="0"/>
    <x v="3"/>
    <x v="0"/>
    <s v="Udaipur"/>
    <x v="2"/>
    <x v="12"/>
    <s v="Smart Machines 789"/>
    <x v="4"/>
    <n v="9"/>
    <n v="1076.75"/>
    <n v="0.2"/>
    <n v="7752.6"/>
    <n v="4689.3"/>
    <n v="3063.3"/>
    <x v="0"/>
    <x v="0"/>
    <s v="August"/>
    <s v="Invalid"/>
    <s v="OK"/>
    <n v="0.2"/>
    <n v="1"/>
    <n v="3063.3"/>
    <n v="7752.6"/>
    <n v="0"/>
    <s v="West"/>
    <s v="Clean"/>
    <s v="Unknown"/>
  </r>
  <r>
    <s v="Ord-2024-10776"/>
    <x v="472"/>
    <d v="2024-04-22T00:00:00"/>
    <s v="Cust-4461"/>
    <s v="Arjun Bose"/>
    <x v="0"/>
    <x v="0"/>
    <x v="16"/>
    <s v="Gurugram"/>
    <x v="2"/>
    <x v="5"/>
    <s v="Elite Accessories 312"/>
    <x v="3"/>
    <n v="8"/>
    <n v="3956.12"/>
    <n v="0.25"/>
    <n v="23736.720000000001"/>
    <n v="13890.9"/>
    <n v="9845.82"/>
    <x v="0"/>
    <x v="0"/>
    <s v="April"/>
    <s v="OK"/>
    <s v="OK"/>
    <n v="0.25"/>
    <n v="1"/>
    <n v="9845.8200000000015"/>
    <n v="23736.720000000001"/>
    <n v="8"/>
    <s v="North"/>
    <s v="Clean"/>
    <s v="Standard Class"/>
  </r>
  <r>
    <s v="Ord-2025-10777"/>
    <x v="220"/>
    <d v="2025-06-13T00:00:00"/>
    <s v="Cust-9690"/>
    <s v="Aditi Sen"/>
    <x v="1"/>
    <x v="0"/>
    <x v="0"/>
    <s v="Jaipur"/>
    <x v="2"/>
    <x v="6"/>
    <s v="Eco Copiers 528"/>
    <x v="0"/>
    <n v="7"/>
    <n v="3857.13"/>
    <n v="0"/>
    <n v="26999.91"/>
    <n v="17815.98"/>
    <n v="9183.93"/>
    <x v="0"/>
    <x v="0"/>
    <s v="June"/>
    <s v="OK"/>
    <s v="OK"/>
    <n v="0"/>
    <n v="1"/>
    <n v="9183.93"/>
    <n v="26999.91"/>
    <n v="5"/>
    <s v="North"/>
    <s v="Clean"/>
    <s v="Second Class"/>
  </r>
  <r>
    <s v="Ord-2024-10778"/>
    <x v="157"/>
    <d v="2024-02-06T00:00:00"/>
    <s v="Cust-6879"/>
    <s v="Kabir Singh"/>
    <x v="1"/>
    <x v="3"/>
    <x v="4"/>
    <s v="Indore"/>
    <x v="2"/>
    <x v="5"/>
    <s v="Elite Accessories 226"/>
    <x v="0"/>
    <n v="4"/>
    <n v="1489.74"/>
    <n v="0.15"/>
    <n v="5065.12"/>
    <n v="3530.12"/>
    <n v="1535"/>
    <x v="3"/>
    <x v="1"/>
    <s v="February"/>
    <s v="OK"/>
    <s v="OK"/>
    <n v="0.15"/>
    <n v="1"/>
    <n v="1534.9960000000001"/>
    <n v="5065.116"/>
    <n v="2"/>
    <s v="West"/>
    <s v="Clean"/>
    <s v="Second Class"/>
  </r>
  <r>
    <s v="Ord-2024-10779"/>
    <x v="257"/>
    <d v="2024-07-24T00:00:00"/>
    <s v="Cust-4714"/>
    <s v="Karan Malhotra"/>
    <x v="1"/>
    <x v="0"/>
    <x v="16"/>
    <s v="Gurugram"/>
    <x v="2"/>
    <x v="6"/>
    <s v="Pro Copiers 298"/>
    <x v="0"/>
    <n v="4"/>
    <n v="1676.88"/>
    <n v="0"/>
    <n v="6707.52"/>
    <n v="5672.57"/>
    <n v="1034.95"/>
    <x v="0"/>
    <x v="0"/>
    <s v="July"/>
    <s v="Invalid"/>
    <s v="OK"/>
    <n v="0"/>
    <n v="1"/>
    <n v="1034.9500000000007"/>
    <n v="6707.52"/>
    <n v="0"/>
    <s v="North"/>
    <s v="Clean"/>
    <s v="Second Class"/>
  </r>
  <r>
    <s v="Ord-2024-10780"/>
    <x v="328"/>
    <d v="2024-01-20T00:00:00"/>
    <s v="Cust-7547"/>
    <s v="Priya Menon"/>
    <x v="1"/>
    <x v="2"/>
    <x v="5"/>
    <s v="Vijayawada"/>
    <x v="1"/>
    <x v="4"/>
    <s v="Prime Chairs 331"/>
    <x v="3"/>
    <n v="4"/>
    <n v="3153.54"/>
    <n v="0.05"/>
    <n v="11983.45"/>
    <n v="8572.9"/>
    <n v="3410.55"/>
    <x v="0"/>
    <x v="0"/>
    <s v="January"/>
    <s v="OK"/>
    <s v="OK"/>
    <n v="0.05"/>
    <n v="1"/>
    <n v="3410.5519999999997"/>
    <n v="11983.451999999999"/>
    <n v="5"/>
    <s v="South"/>
    <s v="Clean"/>
    <s v="Standard Class"/>
  </r>
  <r>
    <s v="Ord-2024-10781"/>
    <x v="400"/>
    <d v="2024-10-08T00:00:00"/>
    <s v="Cust-3288"/>
    <s v="Diya Patel"/>
    <x v="1"/>
    <x v="3"/>
    <x v="0"/>
    <s v="Udaipur"/>
    <x v="1"/>
    <x v="4"/>
    <s v="Classic Chairs 798"/>
    <x v="1"/>
    <n v="4"/>
    <n v="426.43"/>
    <n v="0.2"/>
    <n v="1364.58"/>
    <n v="978.16"/>
    <n v="386.42"/>
    <x v="0"/>
    <x v="0"/>
    <s v="October"/>
    <s v="OK"/>
    <s v="OK"/>
    <n v="0.2"/>
    <n v="1"/>
    <n v="386.41600000000005"/>
    <n v="1364.576"/>
    <n v="183"/>
    <s v="West"/>
    <s v="Clean"/>
    <s v="Same Day"/>
  </r>
  <r>
    <s v="Ord-2024-10782"/>
    <x v="473"/>
    <d v="2024-02-10T00:00:00"/>
    <s v="Cust-8597"/>
    <s v="Karan Malhotra"/>
    <x v="3"/>
    <x v="3"/>
    <x v="0"/>
    <s v="Udaipur"/>
    <x v="0"/>
    <x v="7"/>
    <s v="Classic Labels 204"/>
    <x v="2"/>
    <n v="3"/>
    <n v="383.4"/>
    <n v="0.25"/>
    <n v="862.65"/>
    <n v="603.73"/>
    <n v="258.92"/>
    <x v="2"/>
    <x v="2"/>
    <s v="February"/>
    <s v="OK"/>
    <s v="OK"/>
    <n v="0.25"/>
    <n v="1"/>
    <n v="258.91999999999985"/>
    <n v="862.64999999999986"/>
    <n v="8"/>
    <s v="West"/>
    <s v="Clean"/>
    <s v="First Class"/>
  </r>
  <r>
    <s v="Ord-2025-10783"/>
    <x v="474"/>
    <d v="2025-03-22T00:00:00"/>
    <s v="Cust-9085"/>
    <s v="Mira Das"/>
    <x v="2"/>
    <x v="1"/>
    <x v="6"/>
    <s v="Kolkata"/>
    <x v="2"/>
    <x v="6"/>
    <s v="Basic Copiers 254"/>
    <x v="3"/>
    <n v="2"/>
    <n v="669.63"/>
    <n v="0.15"/>
    <n v="1138.3699999999999"/>
    <n v="797.34"/>
    <n v="341.03"/>
    <x v="0"/>
    <x v="0"/>
    <s v="March"/>
    <s v="OK"/>
    <s v="OK"/>
    <n v="0.15"/>
    <n v="1"/>
    <n v="341.03099999999984"/>
    <n v="1138.3709999999999"/>
    <n v="8"/>
    <s v="East"/>
    <s v="Clean"/>
    <s v="Standard Class"/>
  </r>
  <r>
    <s v="Ord-2024-10784"/>
    <x v="475"/>
    <d v="2024-06-07T00:00:00"/>
    <s v="Cust-7746"/>
    <s v="Aarav Sharma"/>
    <x v="1"/>
    <x v="1"/>
    <x v="9"/>
    <s v="Patna"/>
    <x v="0"/>
    <x v="2"/>
    <s v="Basic Art 709"/>
    <x v="0"/>
    <n v="1"/>
    <n v="2581.9299999999998"/>
    <n v="0.05"/>
    <n v="2452.83"/>
    <n v="1906.7"/>
    <n v="546.13"/>
    <x v="0"/>
    <x v="0"/>
    <s v="June"/>
    <s v="Invalid"/>
    <s v="OK"/>
    <n v="0.05"/>
    <n v="1"/>
    <n v="546.13349999999969"/>
    <n v="2452.8334999999997"/>
    <n v="-29"/>
    <s v="East"/>
    <s v="ivalid"/>
    <s v="Second Class"/>
  </r>
  <r>
    <s v="Ord-2025-10785"/>
    <x v="191"/>
    <d v="2025-10-05T00:00:00"/>
    <s v="Cust-3119"/>
    <s v="Priya Menon"/>
    <x v="2"/>
    <x v="0"/>
    <x v="7"/>
    <s v="Ludhiana"/>
    <x v="2"/>
    <x v="6"/>
    <s v="Max Copiers 551"/>
    <x v="2"/>
    <n v="4"/>
    <n v="418.18"/>
    <n v="0.05"/>
    <n v="1589.08"/>
    <n v="1084.6600000000001"/>
    <n v="504.42"/>
    <x v="0"/>
    <x v="0"/>
    <s v="October"/>
    <s v="OK"/>
    <s v="OK"/>
    <n v="0.05"/>
    <n v="1"/>
    <n v="504.42399999999998"/>
    <n v="1589.0840000000001"/>
    <n v="178"/>
    <s v="North"/>
    <s v="Clean"/>
    <s v="First Class"/>
  </r>
  <r>
    <s v="Ord-2024-10786"/>
    <x v="476"/>
    <d v="2024-05-29T00:00:00"/>
    <s v="Cust-7518"/>
    <s v="Diya Patel"/>
    <x v="1"/>
    <x v="0"/>
    <x v="16"/>
    <s v="Gurugram"/>
    <x v="0"/>
    <x v="8"/>
    <s v="Eco Storage 183"/>
    <x v="1"/>
    <n v="2"/>
    <n v="3012.94"/>
    <n v="0.25"/>
    <n v="4519.41"/>
    <n v="3504.16"/>
    <n v="1275.55"/>
    <x v="3"/>
    <x v="1"/>
    <s v="May"/>
    <s v="OK"/>
    <s v="OK"/>
    <n v="0.25"/>
    <n v="1"/>
    <n v="1015.25"/>
    <n v="4519.41"/>
    <n v="6"/>
    <s v="North"/>
    <s v="Clean"/>
    <s v="Same Day"/>
  </r>
  <r>
    <s v="Ord-2025-10787"/>
    <x v="202"/>
    <d v="2025-07-08T00:00:00"/>
    <s v="Cust-1343"/>
    <s v="Ananya Rao"/>
    <x v="2"/>
    <x v="0"/>
    <x v="0"/>
    <s v="Jaipur"/>
    <x v="1"/>
    <x v="3"/>
    <s v="Pro Furnishings 233"/>
    <x v="4"/>
    <n v="4"/>
    <n v="715.45"/>
    <n v="0.05"/>
    <n v="2718.71"/>
    <n v="2065.0500000000002"/>
    <n v="653.66"/>
    <x v="1"/>
    <x v="2"/>
    <s v="July"/>
    <s v="OK"/>
    <s v="OK"/>
    <n v="0.05"/>
    <n v="1"/>
    <n v="653.65999999999985"/>
    <n v="2718.71"/>
    <n v="31"/>
    <s v="North"/>
    <s v="Clean"/>
    <s v="Unknown"/>
  </r>
  <r>
    <s v="Ord-2024-10788"/>
    <x v="212"/>
    <d v="2024-09-18T00:00:00"/>
    <s v="Cust-7548"/>
    <s v="Ananya Rao"/>
    <x v="3"/>
    <x v="1"/>
    <x v="9"/>
    <s v="Patna"/>
    <x v="0"/>
    <x v="0"/>
    <s v="Prime Paper 878"/>
    <x v="0"/>
    <n v="2"/>
    <n v="3718.77"/>
    <n v="0.05"/>
    <n v="7065.66"/>
    <n v="4915.2700000000004"/>
    <n v="2150.39"/>
    <x v="0"/>
    <x v="0"/>
    <s v="September"/>
    <s v="Invalid"/>
    <s v="OK"/>
    <n v="0.05"/>
    <n v="1"/>
    <n v="2150.3929999999991"/>
    <n v="7065.6629999999996"/>
    <n v="-82"/>
    <s v="East"/>
    <s v="ivalid"/>
    <s v="Second Class"/>
  </r>
  <r>
    <s v="Ord-2024-10789"/>
    <x v="374"/>
    <d v="2024-08-02T00:00:00"/>
    <s v="Cust-3631"/>
    <s v="Isha Nair"/>
    <x v="2"/>
    <x v="0"/>
    <x v="8"/>
    <s v="Noida"/>
    <x v="1"/>
    <x v="4"/>
    <s v="Smart Chairs 353"/>
    <x v="3"/>
    <n v="8"/>
    <n v="2487.64"/>
    <n v="0.1"/>
    <n v="17911.009999999998"/>
    <n v="11546.05"/>
    <n v="6364.96"/>
    <x v="3"/>
    <x v="2"/>
    <s v="August"/>
    <s v="OK"/>
    <s v="OK"/>
    <n v="0.1"/>
    <n v="1"/>
    <n v="6364.9579999999987"/>
    <n v="17911.007999999998"/>
    <n v="207"/>
    <s v="North"/>
    <s v="Clean"/>
    <s v="Standard Class"/>
  </r>
  <r>
    <s v="Ord-2025-10790"/>
    <x v="365"/>
    <d v="2025-03-08T00:00:00"/>
    <s v="Cust-1453"/>
    <s v="Priya Menon"/>
    <x v="3"/>
    <x v="4"/>
    <x v="0"/>
    <s v="Udaipur"/>
    <x v="2"/>
    <x v="6"/>
    <s v="Smart Copiers 408"/>
    <x v="1"/>
    <n v="4"/>
    <n v="3537.48"/>
    <n v="0"/>
    <n v="14149.92"/>
    <n v="9466.51"/>
    <n v="4683.41"/>
    <x v="0"/>
    <x v="0"/>
    <s v="March"/>
    <s v="Invalid"/>
    <s v="OK"/>
    <n v="0"/>
    <n v="1"/>
    <n v="4683.41"/>
    <n v="14149.92"/>
    <n v="-117"/>
    <s v="Unknown"/>
    <s v="ivalid"/>
    <s v="Same Day"/>
  </r>
  <r>
    <s v="Ord-2024-10791"/>
    <x v="121"/>
    <d v="2024-06-02T00:00:00"/>
    <s v="Cust-1951"/>
    <s v="Rahul Verma"/>
    <x v="2"/>
    <x v="2"/>
    <x v="5"/>
    <s v="Vijayawada"/>
    <x v="0"/>
    <x v="2"/>
    <s v="Classic Art 781"/>
    <x v="3"/>
    <n v="8"/>
    <n v="667.59"/>
    <n v="0.2"/>
    <n v="4272.58"/>
    <n v="3328.92"/>
    <n v="943.66"/>
    <x v="0"/>
    <x v="0"/>
    <s v="June"/>
    <s v="OK"/>
    <s v="OK"/>
    <n v="0.2"/>
    <n v="1"/>
    <n v="943.65599999999995"/>
    <n v="4272.576"/>
    <n v="2"/>
    <s v="South"/>
    <s v="Clean"/>
    <s v="Standard Class"/>
  </r>
  <r>
    <s v="Ord-2024-10792"/>
    <x v="421"/>
    <d v="2024-10-06T00:00:00"/>
    <s v="Cust-6300"/>
    <s v="Rahul Verma"/>
    <x v="3"/>
    <x v="2"/>
    <x v="11"/>
    <s v="Bengaluru"/>
    <x v="1"/>
    <x v="10"/>
    <s v="Eco Bookcases 144"/>
    <x v="1"/>
    <n v="8"/>
    <n v="1558.77"/>
    <n v="0.25"/>
    <n v="9352.6200000000008"/>
    <n v="5269.41"/>
    <n v="4083.21"/>
    <x v="0"/>
    <x v="0"/>
    <s v="October"/>
    <s v="OK"/>
    <s v="OK"/>
    <n v="0.25"/>
    <n v="1"/>
    <n v="4083.2099999999991"/>
    <n v="9352.619999999999"/>
    <n v="239"/>
    <s v="South"/>
    <s v="Clean"/>
    <s v="Same Day"/>
  </r>
  <r>
    <s v="Ord-2025-10793"/>
    <x v="196"/>
    <d v="2025-06-08T00:00:00"/>
    <s v="Cust-1417"/>
    <s v="Arjun Bose"/>
    <x v="1"/>
    <x v="1"/>
    <x v="10"/>
    <s v="Guwahati"/>
    <x v="1"/>
    <x v="3"/>
    <s v="Elite Furnishings 852"/>
    <x v="0"/>
    <n v="1"/>
    <n v="3501.12"/>
    <n v="0.2"/>
    <n v="2800.9"/>
    <n v="1735.98"/>
    <n v="1064.92"/>
    <x v="0"/>
    <x v="2"/>
    <s v="June"/>
    <s v="OK"/>
    <s v="OK"/>
    <n v="0.2"/>
    <n v="1"/>
    <n v="1064.9160000000002"/>
    <n v="2800.8960000000002"/>
    <n v="63"/>
    <s v="East"/>
    <s v="Clean"/>
    <s v="Second Class"/>
  </r>
  <r>
    <s v="Ord-2024-10794"/>
    <x v="194"/>
    <d v="2024-06-03T00:00:00"/>
    <s v="Cust-5421"/>
    <s v="Vikram Iyer"/>
    <x v="2"/>
    <x v="0"/>
    <x v="0"/>
    <s v="Jaipur"/>
    <x v="2"/>
    <x v="6"/>
    <s v="Basic Copiers 238"/>
    <x v="0"/>
    <n v="5"/>
    <n v="4302.32"/>
    <n v="0"/>
    <n v="21511.599999999999"/>
    <n v="15408.47"/>
    <n v="6103.13"/>
    <x v="0"/>
    <x v="0"/>
    <s v="June"/>
    <s v="OK"/>
    <s v="OK"/>
    <n v="0"/>
    <n v="1"/>
    <n v="6103.1299999999992"/>
    <n v="21511.599999999999"/>
    <n v="6"/>
    <s v="North"/>
    <s v="Clean"/>
    <s v="Second Class"/>
  </r>
  <r>
    <s v="Ord-2025-10795"/>
    <x v="262"/>
    <d v="2025-06-24T00:00:00"/>
    <s v="Cust-2829"/>
    <s v="Sneha Kapoor"/>
    <x v="2"/>
    <x v="1"/>
    <x v="10"/>
    <s v="Guwahati"/>
    <x v="0"/>
    <x v="0"/>
    <s v="Elite Paper 847"/>
    <x v="3"/>
    <n v="9"/>
    <n v="951.55"/>
    <n v="0.15"/>
    <n v="7279.36"/>
    <n v="4870.3900000000003"/>
    <n v="2408.9699999999998"/>
    <x v="0"/>
    <x v="0"/>
    <s v="June"/>
    <s v="OK"/>
    <s v="OK"/>
    <n v="0.15"/>
    <n v="1"/>
    <n v="2408.9674999999988"/>
    <n v="7279.3574999999992"/>
    <n v="2"/>
    <s v="East"/>
    <s v="Clean"/>
    <s v="Standard Class"/>
  </r>
  <r>
    <s v="Ord-2024-10796"/>
    <x v="79"/>
    <d v="2024-07-30T00:00:00"/>
    <s v="Cust-6529"/>
    <s v="Diya Patel"/>
    <x v="3"/>
    <x v="1"/>
    <x v="1"/>
    <s v="Bhubaneswar"/>
    <x v="2"/>
    <x v="6"/>
    <s v="Pro Copiers 653"/>
    <x v="1"/>
    <n v="9"/>
    <n v="2894.66"/>
    <n v="0"/>
    <n v="26051.94"/>
    <n v="16883.59"/>
    <n v="9168.35"/>
    <x v="1"/>
    <x v="1"/>
    <s v="July"/>
    <s v="Invalid"/>
    <s v="OK"/>
    <n v="0"/>
    <n v="1"/>
    <n v="9168.3499999999985"/>
    <n v="26051.94"/>
    <n v="0"/>
    <s v="East"/>
    <s v="Clean"/>
    <s v="Same Day"/>
  </r>
  <r>
    <s v="Ord-2024-10797"/>
    <x v="122"/>
    <d v="2024-03-30T00:00:00"/>
    <s v="Cust-3126"/>
    <s v="Rohan Mehta"/>
    <x v="1"/>
    <x v="2"/>
    <x v="5"/>
    <s v="Vijayawada"/>
    <x v="2"/>
    <x v="12"/>
    <s v="Elite Machines 459"/>
    <x v="2"/>
    <n v="6"/>
    <n v="1894.44"/>
    <n v="0.15"/>
    <n v="9661.64"/>
    <n v="6303.77"/>
    <n v="3357.87"/>
    <x v="0"/>
    <x v="0"/>
    <s v="March"/>
    <s v="OK"/>
    <s v="OK"/>
    <n v="0.15"/>
    <n v="1"/>
    <n v="3357.873999999998"/>
    <n v="9661.6439999999984"/>
    <n v="7"/>
    <s v="South"/>
    <s v="Clean"/>
    <s v="First Class"/>
  </r>
  <r>
    <s v="Ord-2024-10798"/>
    <x v="477"/>
    <d v="2024-04-22T00:00:00"/>
    <s v="Cust-3991"/>
    <s v="Aarav Sharma"/>
    <x v="0"/>
    <x v="1"/>
    <x v="1"/>
    <s v="Bhubaneswar"/>
    <x v="0"/>
    <x v="9"/>
    <s v="Elite Binders 764"/>
    <x v="2"/>
    <n v="8"/>
    <n v="1714.37"/>
    <n v="0"/>
    <n v="13714.96"/>
    <n v="10550.47"/>
    <n v="3164.49"/>
    <x v="3"/>
    <x v="1"/>
    <s v="April"/>
    <s v="OK"/>
    <s v="OK"/>
    <n v="0"/>
    <n v="1"/>
    <n v="3164.49"/>
    <n v="13714.96"/>
    <n v="4"/>
    <s v="East"/>
    <s v="Clean"/>
    <s v="First Class"/>
  </r>
  <r>
    <s v="Ord-2025-10799"/>
    <x v="478"/>
    <d v="2025-07-09T00:00:00"/>
    <s v="Cust-7553"/>
    <s v="Aditi Sen"/>
    <x v="2"/>
    <x v="0"/>
    <x v="18"/>
    <s v="New Delhi"/>
    <x v="1"/>
    <x v="3"/>
    <s v="Classic Furnishings 348"/>
    <x v="3"/>
    <n v="9"/>
    <n v="1706.05"/>
    <n v="0"/>
    <n v="15354.45"/>
    <n v="9656.5"/>
    <n v="5697.95"/>
    <x v="0"/>
    <x v="0"/>
    <s v="July"/>
    <s v="Invalid"/>
    <s v="OK"/>
    <n v="0"/>
    <n v="1"/>
    <n v="5697.9499999999989"/>
    <n v="15354.449999999999"/>
    <n v="-121"/>
    <s v="North"/>
    <s v="ivalid"/>
    <s v="Standard Class"/>
  </r>
  <r>
    <s v="Ord-2024-10800"/>
    <x v="37"/>
    <d v="2024-10-17T00:00:00"/>
    <s v="Cust-8527"/>
    <s v="Isha Nair"/>
    <x v="3"/>
    <x v="0"/>
    <x v="16"/>
    <s v="Gurugram"/>
    <x v="2"/>
    <x v="5"/>
    <s v="Smart Accessories 487"/>
    <x v="4"/>
    <n v="5"/>
    <n v="967.41"/>
    <n v="0.05"/>
    <n v="4595.2"/>
    <n v="3887.41"/>
    <n v="707.79"/>
    <x v="0"/>
    <x v="2"/>
    <s v="October"/>
    <s v="OK"/>
    <s v="OK"/>
    <n v="0.05"/>
    <n v="1"/>
    <n v="707.78750000000036"/>
    <n v="4595.1975000000002"/>
    <n v="7"/>
    <s v="North"/>
    <s v="Clean"/>
    <s v="Unknown"/>
  </r>
  <r>
    <s v="Ord-2024-10801"/>
    <x v="479"/>
    <d v="2024-03-07T00:00:00"/>
    <s v="Cust-5015"/>
    <s v="Vikram Iyer"/>
    <x v="1"/>
    <x v="3"/>
    <x v="3"/>
    <s v="Mumbai"/>
    <x v="0"/>
    <x v="8"/>
    <s v="Elite Storage 825"/>
    <x v="0"/>
    <n v="6"/>
    <n v="4163.72"/>
    <n v="0.15"/>
    <n v="21234.97"/>
    <n v="16736.09"/>
    <n v="4498.88"/>
    <x v="0"/>
    <x v="0"/>
    <s v="March"/>
    <s v="OK"/>
    <s v="OK"/>
    <n v="0.15"/>
    <n v="1"/>
    <n v="4498.8819999999978"/>
    <n v="21234.971999999998"/>
    <n v="64"/>
    <s v="West"/>
    <s v="Clean"/>
    <s v="Second Class"/>
  </r>
  <r>
    <s v="Ord-2025-10802"/>
    <x v="286"/>
    <d v="2025-10-15T00:00:00"/>
    <s v="Cust-3344"/>
    <s v="Aarav Sharma"/>
    <x v="3"/>
    <x v="1"/>
    <x v="1"/>
    <s v="Bhubaneswar"/>
    <x v="2"/>
    <x v="5"/>
    <s v="Pro Accessories 500"/>
    <x v="0"/>
    <n v="3"/>
    <n v="3372.21"/>
    <n v="0.2"/>
    <n v="8093.3"/>
    <n v="6052.43"/>
    <n v="2040.87"/>
    <x v="2"/>
    <x v="1"/>
    <s v="October"/>
    <s v="OK"/>
    <s v="OK"/>
    <n v="0.2"/>
    <n v="1"/>
    <n v="2040.8740000000007"/>
    <n v="8093.304000000001"/>
    <n v="66"/>
    <s v="East"/>
    <s v="Clean"/>
    <s v="Second Class"/>
  </r>
  <r>
    <s v="Ord-2025-10803"/>
    <x v="411"/>
    <d v="2025-02-16T00:00:00"/>
    <s v="Cust-5866"/>
    <s v="Rohan Mehta"/>
    <x v="1"/>
    <x v="1"/>
    <x v="10"/>
    <s v="Guwahati"/>
    <x v="1"/>
    <x v="3"/>
    <s v="Pro Furnishings 909"/>
    <x v="0"/>
    <n v="6"/>
    <n v="1441.91"/>
    <n v="0"/>
    <n v="8651.4599999999991"/>
    <n v="5254.62"/>
    <n v="3396.84"/>
    <x v="3"/>
    <x v="2"/>
    <s v="February"/>
    <s v="Invalid"/>
    <s v="OK"/>
    <n v="0"/>
    <n v="1"/>
    <n v="3396.8400000000011"/>
    <n v="8651.4600000000009"/>
    <n v="0"/>
    <s v="East"/>
    <s v="Clean"/>
    <s v="Second Class"/>
  </r>
  <r>
    <s v="Ord-2024-10804"/>
    <x v="163"/>
    <d v="2024-12-13T00:00:00"/>
    <s v="Cust-7180"/>
    <s v="Rohan Mehta"/>
    <x v="0"/>
    <x v="4"/>
    <x v="15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s v="December"/>
    <s v="OK"/>
    <s v="OK"/>
    <n v="0"/>
    <n v="1"/>
    <n v="1737.8299999999995"/>
    <n v="4306.6499999999996"/>
    <n v="92"/>
    <s v="Unknown"/>
    <s v="Clean"/>
    <s v="First Class"/>
  </r>
  <r>
    <s v="Ord-2025-10805"/>
    <x v="480"/>
    <d v="2025-09-18T00:00:00"/>
    <s v="Cust-8745"/>
    <s v="Rahul Verma"/>
    <x v="3"/>
    <x v="2"/>
    <x v="2"/>
    <s v="Hyderabad"/>
    <x v="1"/>
    <x v="3"/>
    <s v="Eco Furnishings 541"/>
    <x v="3"/>
    <n v="1"/>
    <n v="2050.62"/>
    <n v="0.05"/>
    <n v="1948.09"/>
    <n v="1507.08"/>
    <n v="441.01"/>
    <x v="0"/>
    <x v="0"/>
    <s v="September"/>
    <s v="OK"/>
    <s v="OK"/>
    <n v="0.05"/>
    <n v="1"/>
    <n v="441.00899999999979"/>
    <n v="1948.0889999999997"/>
    <n v="8"/>
    <s v="South"/>
    <s v="Clean"/>
    <s v="Standard Class"/>
  </r>
  <r>
    <s v="Ord-2025-10806"/>
    <x v="210"/>
    <d v="2025-04-07T00:00:00"/>
    <s v="Cust-2098"/>
    <s v="Priya Menon"/>
    <x v="3"/>
    <x v="1"/>
    <x v="10"/>
    <s v="Guwahati"/>
    <x v="0"/>
    <x v="9"/>
    <s v="Classic Binders 103"/>
    <x v="0"/>
    <n v="2"/>
    <n v="2030.06"/>
    <n v="0.25"/>
    <n v="3045.09"/>
    <n v="2601.09"/>
    <n v="444"/>
    <x v="0"/>
    <x v="0"/>
    <s v="April"/>
    <s v="Invalid"/>
    <s v="OK"/>
    <n v="0.25"/>
    <n v="1"/>
    <n v="444"/>
    <n v="3045.09"/>
    <n v="-58"/>
    <s v="East"/>
    <s v="ivalid"/>
    <s v="Second Class"/>
  </r>
  <r>
    <s v="Ord-2024-10807"/>
    <x v="446"/>
    <d v="2024-11-15T00:00:00"/>
    <s v="Cust-3704"/>
    <s v="Isha Nair"/>
    <x v="3"/>
    <x v="0"/>
    <x v="0"/>
    <s v="Jaipur"/>
    <x v="2"/>
    <x v="6"/>
    <s v="Max Copiers 560"/>
    <x v="3"/>
    <n v="1"/>
    <n v="3665.97"/>
    <n v="0.2"/>
    <n v="2932.78"/>
    <n v="1900.35"/>
    <n v="1032.43"/>
    <x v="3"/>
    <x v="1"/>
    <s v="November"/>
    <s v="OK"/>
    <s v="OK"/>
    <n v="0.2"/>
    <n v="1"/>
    <n v="1032.4259999999999"/>
    <n v="2932.7759999999998"/>
    <n v="6"/>
    <s v="North"/>
    <s v="Clean"/>
    <s v="Standard Class"/>
  </r>
  <r>
    <s v="Ord-2025-10808"/>
    <x v="203"/>
    <d v="2025-02-08T00:00:00"/>
    <s v="Cust-5884"/>
    <s v="Karan Malhotra"/>
    <x v="1"/>
    <x v="2"/>
    <x v="2"/>
    <s v="Hyderabad"/>
    <x v="0"/>
    <x v="7"/>
    <s v="Smart Labels 436"/>
    <x v="3"/>
    <n v="2"/>
    <n v="2432.98"/>
    <n v="0.1"/>
    <n v="4379.3599999999997"/>
    <n v="3723.93"/>
    <n v="655.43"/>
    <x v="0"/>
    <x v="0"/>
    <s v="February"/>
    <s v="Invalid"/>
    <s v="OK"/>
    <n v="0.1"/>
    <n v="1"/>
    <n v="655.43400000000065"/>
    <n v="4379.3640000000005"/>
    <n v="-144"/>
    <s v="South"/>
    <s v="ivalid"/>
    <s v="Standard Class"/>
  </r>
  <r>
    <s v="Ord-2025-10809"/>
    <x v="481"/>
    <d v="2025-08-28T00:00:00"/>
    <s v="Cust-7503"/>
    <s v="Aarav Sharma"/>
    <x v="1"/>
    <x v="2"/>
    <x v="17"/>
    <s v="Chennai"/>
    <x v="1"/>
    <x v="3"/>
    <s v="Pro Furnishings 386"/>
    <x v="2"/>
    <n v="7"/>
    <n v="977.28"/>
    <n v="0.2"/>
    <n v="5472.77"/>
    <n v="4477.33"/>
    <n v="995.44"/>
    <x v="0"/>
    <x v="0"/>
    <s v="August"/>
    <s v="Invalid"/>
    <s v="OK"/>
    <n v="0.2"/>
    <n v="1"/>
    <n v="995.4380000000001"/>
    <n v="5472.768"/>
    <n v="-3"/>
    <s v="South"/>
    <s v="ivalid"/>
    <s v="First Class"/>
  </r>
  <r>
    <s v="Ord-2025-10810"/>
    <x v="211"/>
    <d v="2025-06-25T00:00:00"/>
    <s v="Cust-6973"/>
    <s v="Arjun Bose"/>
    <x v="1"/>
    <x v="4"/>
    <x v="7"/>
    <s v="Ludhiana"/>
    <x v="0"/>
    <x v="9"/>
    <s v="Eco Binders 601"/>
    <x v="0"/>
    <n v="6"/>
    <n v="1366.13"/>
    <n v="0.1"/>
    <n v="7377.1"/>
    <n v="5085.21"/>
    <n v="2291.89"/>
    <x v="0"/>
    <x v="0"/>
    <s v="June"/>
    <s v="Invalid"/>
    <s v="OK"/>
    <n v="0.1"/>
    <n v="1"/>
    <n v="2291.8920000000007"/>
    <n v="7377.1020000000008"/>
    <n v="0"/>
    <s v="Unknown"/>
    <s v="Clean"/>
    <s v="Second Class"/>
  </r>
  <r>
    <s v="Ord-2024-10811"/>
    <x v="129"/>
    <d v="2024-04-08T00:00:00"/>
    <s v="Cust-4653"/>
    <s v="Kabir Singh"/>
    <x v="3"/>
    <x v="3"/>
    <x v="12"/>
    <s v="Ahmedabad"/>
    <x v="2"/>
    <x v="6"/>
    <s v="Pro Copiers 867"/>
    <x v="2"/>
    <n v="1"/>
    <n v="3151.85"/>
    <n v="0.25"/>
    <n v="2363.89"/>
    <n v="1471.51"/>
    <n v="892.38"/>
    <x v="0"/>
    <x v="0"/>
    <s v="April"/>
    <s v="OK"/>
    <s v="OK"/>
    <n v="0.25"/>
    <n v="1"/>
    <n v="892.37749999999983"/>
    <n v="2363.8874999999998"/>
    <n v="35"/>
    <s v="West"/>
    <s v="Clean"/>
    <s v="First Class"/>
  </r>
  <r>
    <s v="Ord-2024-10812"/>
    <x v="482"/>
    <d v="2024-12-19T00:00:00"/>
    <s v="Cust-3303"/>
    <s v="Rohan Mehta"/>
    <x v="3"/>
    <x v="0"/>
    <x v="16"/>
    <s v="Gurugram"/>
    <x v="2"/>
    <x v="5"/>
    <s v="Eco Accessories 122"/>
    <x v="2"/>
    <n v="2"/>
    <n v="1610.75"/>
    <n v="0.2"/>
    <n v="2577.1999999999998"/>
    <n v="1475.87"/>
    <n v="1101.33"/>
    <x v="0"/>
    <x v="0"/>
    <s v="December"/>
    <s v="OK"/>
    <s v="OK"/>
    <n v="0.2"/>
    <n v="1"/>
    <n v="1101.3300000000004"/>
    <n v="2577.2000000000003"/>
    <n v="7"/>
    <s v="North"/>
    <s v="Clean"/>
    <s v="First Class"/>
  </r>
  <r>
    <s v="Ord-2024-10813"/>
    <x v="274"/>
    <d v="2024-06-20T00:00:00"/>
    <s v="Cust-5754"/>
    <s v="Sneha Kapoor"/>
    <x v="1"/>
    <x v="1"/>
    <x v="15"/>
    <s v="Ranchi"/>
    <x v="1"/>
    <x v="1"/>
    <s v="Basic Tables 127"/>
    <x v="2"/>
    <n v="8"/>
    <n v="2228.4699999999998"/>
    <n v="0"/>
    <n v="17827.759999999998"/>
    <n v="14122.13"/>
    <n v="3705.63"/>
    <x v="0"/>
    <x v="0"/>
    <s v="June"/>
    <s v="OK"/>
    <s v="OK"/>
    <n v="0"/>
    <n v="1"/>
    <n v="3705.6299999999992"/>
    <n v="17827.759999999998"/>
    <n v="5"/>
    <s v="East"/>
    <s v="Clean"/>
    <s v="First Class"/>
  </r>
  <r>
    <s v="Ord-2025-10814"/>
    <x v="210"/>
    <d v="2025-04-10T00:00:00"/>
    <s v="Cust-7848"/>
    <s v="Rohan Mehta"/>
    <x v="0"/>
    <x v="1"/>
    <x v="1"/>
    <s v="Bhubaneswar"/>
    <x v="1"/>
    <x v="10"/>
    <s v="Elite Bookcases 988"/>
    <x v="3"/>
    <n v="2"/>
    <n v="1337.67"/>
    <n v="0"/>
    <n v="2675.34"/>
    <n v="1595.87"/>
    <n v="1079.47"/>
    <x v="0"/>
    <x v="0"/>
    <s v="April"/>
    <s v="Invalid"/>
    <s v="OK"/>
    <n v="0"/>
    <n v="1"/>
    <n v="1079.4700000000003"/>
    <n v="2675.34"/>
    <n v="-55"/>
    <s v="East"/>
    <s v="ivalid"/>
    <s v="Standard Class"/>
  </r>
  <r>
    <s v="Ord-2025-10815"/>
    <x v="220"/>
    <d v="2025-08-11T00:00:00"/>
    <s v="Cust-9048"/>
    <s v="Arjun Bose"/>
    <x v="0"/>
    <x v="3"/>
    <x v="4"/>
    <s v="Indore"/>
    <x v="0"/>
    <x v="7"/>
    <s v="Smart Labels 126"/>
    <x v="2"/>
    <n v="2"/>
    <n v="2375.94"/>
    <n v="0.25"/>
    <n v="3563.91"/>
    <n v="2639.7"/>
    <n v="924.21"/>
    <x v="0"/>
    <x v="0"/>
    <s v="August"/>
    <s v="OK"/>
    <s v="OK"/>
    <n v="0.25"/>
    <n v="1"/>
    <n v="924.21"/>
    <n v="3563.91"/>
    <n v="64"/>
    <s v="West"/>
    <s v="Clean"/>
    <s v="First Class"/>
  </r>
  <r>
    <s v="Ord-2024-10816"/>
    <x v="338"/>
    <d v="2024-04-08T00:00:00"/>
    <s v="Cust-2951"/>
    <s v="Diya Patel"/>
    <x v="0"/>
    <x v="1"/>
    <x v="1"/>
    <s v="Bhubaneswar"/>
    <x v="2"/>
    <x v="12"/>
    <s v="Max Machines 569"/>
    <x v="3"/>
    <n v="7"/>
    <n v="715.81"/>
    <n v="0.15"/>
    <n v="4259.07"/>
    <n v="3130.32"/>
    <n v="1128.75"/>
    <x v="2"/>
    <x v="1"/>
    <s v="April"/>
    <s v="OK"/>
    <s v="OK"/>
    <n v="0.15"/>
    <n v="1"/>
    <n v="1128.7494999999994"/>
    <n v="4259.0694999999996"/>
    <n v="95"/>
    <s v="East"/>
    <s v="Clean"/>
    <s v="Standard Class"/>
  </r>
  <r>
    <s v="Ord-2024-10817"/>
    <x v="483"/>
    <d v="2024-11-30T00:00:00"/>
    <s v="Cust-3072"/>
    <s v="Rahul Verma"/>
    <x v="1"/>
    <x v="1"/>
    <x v="15"/>
    <s v="Ranchi"/>
    <x v="1"/>
    <x v="3"/>
    <s v="Basic Furnishings 306"/>
    <x v="2"/>
    <n v="1"/>
    <n v="874.3"/>
    <n v="0.1"/>
    <n v="786.87"/>
    <n v="498.5"/>
    <n v="288.37"/>
    <x v="0"/>
    <x v="0"/>
    <s v="November"/>
    <s v="OK"/>
    <s v="OK"/>
    <n v="0.1"/>
    <n v="1"/>
    <n v="288.37"/>
    <n v="786.87"/>
    <n v="3"/>
    <s v="East"/>
    <s v="Clean"/>
    <s v="First Class"/>
  </r>
  <r>
    <s v="Ord-2025-10818"/>
    <x v="484"/>
    <d v="2025-05-04T00:00:00"/>
    <s v="Cust-2221"/>
    <s v="Sneha Kapoor"/>
    <x v="0"/>
    <x v="1"/>
    <x v="9"/>
    <s v="Patna"/>
    <x v="0"/>
    <x v="9"/>
    <s v="Classic Binders 873"/>
    <x v="3"/>
    <n v="6"/>
    <n v="1829.69"/>
    <n v="0.25"/>
    <n v="8233.6"/>
    <n v="4713.79"/>
    <n v="3519.81"/>
    <x v="0"/>
    <x v="0"/>
    <s v="May"/>
    <s v="Invalid"/>
    <s v="OK"/>
    <n v="0.25"/>
    <n v="1"/>
    <n v="3519.8149999999996"/>
    <n v="8233.6049999999996"/>
    <n v="0"/>
    <s v="East"/>
    <s v="Clean"/>
    <s v="Standard Class"/>
  </r>
  <r>
    <s v="Ord-2024-10819"/>
    <x v="415"/>
    <d v="2024-10-05T00:00:00"/>
    <s v="Cust-3943"/>
    <s v="Priya Menon"/>
    <x v="1"/>
    <x v="3"/>
    <x v="3"/>
    <s v="Mumbai"/>
    <x v="0"/>
    <x v="7"/>
    <s v="Pro Labels 611"/>
    <x v="2"/>
    <n v="8"/>
    <n v="1981.04"/>
    <n v="-0.14000000000000001"/>
    <n v="12678.66"/>
    <n v="10088.65"/>
    <n v="2590.0100000000002"/>
    <x v="0"/>
    <x v="0"/>
    <s v="October"/>
    <s v="OK"/>
    <s v="Negative Discount"/>
    <n v="-0.14000000000000001"/>
    <n v="1"/>
    <n v="7978.4348000000009"/>
    <n v="18067.084800000001"/>
    <n v="6"/>
    <s v="West"/>
    <s v="ivalid"/>
    <s v="First Class"/>
  </r>
  <r>
    <s v="Ord-2024-10820"/>
    <x v="247"/>
    <d v="2024-07-31T00:00:00"/>
    <s v="Cust-7510"/>
    <s v="Karan Malhotra"/>
    <x v="3"/>
    <x v="2"/>
    <x v="13"/>
    <s v="Kochi"/>
    <x v="2"/>
    <x v="12"/>
    <s v="Prime Machines 524"/>
    <x v="3"/>
    <n v="8"/>
    <n v="4246.01"/>
    <n v="0"/>
    <n v="33968.080000000002"/>
    <n v="26902.44"/>
    <n v="7065.64"/>
    <x v="3"/>
    <x v="1"/>
    <s v="July"/>
    <s v="Invalid"/>
    <s v="OK"/>
    <n v="0"/>
    <n v="1"/>
    <n v="7065.6400000000031"/>
    <n v="33968.080000000002"/>
    <n v="0"/>
    <s v="South"/>
    <s v="Clean"/>
    <s v="Standard Class"/>
  </r>
  <r>
    <s v="Ord-2025-10821"/>
    <x v="465"/>
    <d v="2025-02-10T00:00:00"/>
    <s v="Cust-2041"/>
    <s v="Ananya Rao"/>
    <x v="3"/>
    <x v="0"/>
    <x v="8"/>
    <s v="Noida"/>
    <x v="1"/>
    <x v="10"/>
    <s v="Classic Bookcases 882"/>
    <x v="3"/>
    <n v="2"/>
    <n v="319.57"/>
    <n v="0.2"/>
    <n v="511.31"/>
    <n v="436.43"/>
    <n v="74.88"/>
    <x v="0"/>
    <x v="0"/>
    <s v="February"/>
    <s v="OK"/>
    <s v="OK"/>
    <n v="0.2"/>
    <n v="1"/>
    <n v="74.882000000000005"/>
    <n v="511.31200000000001"/>
    <n v="4"/>
    <s v="North"/>
    <s v="Clean"/>
    <s v="Standard Class"/>
  </r>
  <r>
    <s v="Ord-2024-10822"/>
    <x v="485"/>
    <d v="2024-07-06T00:00:00"/>
    <s v="Cust-4466"/>
    <s v="Aarav Sharma"/>
    <x v="2"/>
    <x v="2"/>
    <x v="11"/>
    <s v="Bengaluru"/>
    <x v="2"/>
    <x v="5"/>
    <s v="Classic Accessories 471"/>
    <x v="2"/>
    <n v="7"/>
    <n v="1942.49"/>
    <n v="0.2"/>
    <n v="10877.94"/>
    <n v="9110.14"/>
    <n v="1767.8"/>
    <x v="0"/>
    <x v="0"/>
    <s v="July"/>
    <s v="OK"/>
    <s v="OK"/>
    <n v="0.2"/>
    <n v="1"/>
    <n v="1767.8040000000019"/>
    <n v="10877.944000000001"/>
    <n v="121"/>
    <s v="South"/>
    <s v="Clean"/>
    <s v="First Class"/>
  </r>
  <r>
    <s v="Ord-2024-10823"/>
    <x v="388"/>
    <d v="2024-10-08T00:00:00"/>
    <s v="Cust-3188"/>
    <s v="Mira Das"/>
    <x v="2"/>
    <x v="1"/>
    <x v="10"/>
    <s v="Guwahati"/>
    <x v="1"/>
    <x v="3"/>
    <s v="Smart Furnishings 175"/>
    <x v="0"/>
    <n v="4"/>
    <n v="3202.04"/>
    <n v="0.2"/>
    <n v="10246.530000000001"/>
    <n v="8634.42"/>
    <n v="1612.11"/>
    <x v="2"/>
    <x v="2"/>
    <s v="October"/>
    <s v="Invalid"/>
    <s v="OK"/>
    <n v="0.2"/>
    <n v="1"/>
    <n v="1612.1080000000002"/>
    <n v="10246.528"/>
    <n v="-63"/>
    <s v="East"/>
    <s v="ivalid"/>
    <s v="Second Class"/>
  </r>
  <r>
    <s v="Ord-2025-10824"/>
    <x v="486"/>
    <d v="2025-01-12T00:00:00"/>
    <s v="Cust-6638"/>
    <s v="Mira Das"/>
    <x v="3"/>
    <x v="3"/>
    <x v="14"/>
    <s v="Panaji"/>
    <x v="0"/>
    <x v="0"/>
    <s v="Basic Paper 899"/>
    <x v="1"/>
    <n v="3"/>
    <n v="668.33"/>
    <n v="0.15"/>
    <n v="1704.24"/>
    <n v="957.55"/>
    <n v="746.69"/>
    <x v="0"/>
    <x v="0"/>
    <s v="January"/>
    <s v="Invalid"/>
    <s v="OK"/>
    <n v="0.15"/>
    <n v="1"/>
    <n v="746.69150000000013"/>
    <n v="1704.2415000000001"/>
    <n v="-140"/>
    <s v="West"/>
    <s v="ivalid"/>
    <s v="Same Day"/>
  </r>
  <r>
    <s v="Ord-2025-10825"/>
    <x v="273"/>
    <d v="2025-03-22T00:00:00"/>
    <s v="Cust-3540"/>
    <s v="Priya Menon"/>
    <x v="0"/>
    <x v="3"/>
    <x v="14"/>
    <s v="Panaji"/>
    <x v="0"/>
    <x v="0"/>
    <s v="Pro Paper 267"/>
    <x v="2"/>
    <n v="8"/>
    <n v="4436.74"/>
    <n v="0.05"/>
    <n v="33719.22"/>
    <n v="28924.43"/>
    <n v="4794.79"/>
    <x v="0"/>
    <x v="0"/>
    <s v="March"/>
    <s v="OK"/>
    <s v="OK"/>
    <n v="0.05"/>
    <n v="1"/>
    <n v="4794.7939999999944"/>
    <n v="33719.223999999995"/>
    <n v="1"/>
    <s v="West"/>
    <s v="Clean"/>
    <s v="First Class"/>
  </r>
  <r>
    <s v="Ord-2025-10826"/>
    <x v="67"/>
    <d v="2025-04-17T00:00:00"/>
    <s v="Cust-3351"/>
    <s v="Vikram Iyer"/>
    <x v="1"/>
    <x v="0"/>
    <x v="8"/>
    <s v="Noida"/>
    <x v="2"/>
    <x v="12"/>
    <s v="Basic Machines 832"/>
    <x v="2"/>
    <n v="1"/>
    <n v="2720.17"/>
    <n v="0"/>
    <n v="2720.17"/>
    <n v="1834.23"/>
    <n v="885.94"/>
    <x v="0"/>
    <x v="0"/>
    <s v="April"/>
    <s v="OK"/>
    <s v="OK"/>
    <n v="0"/>
    <n v="1"/>
    <n v="885.94"/>
    <n v="2720.17"/>
    <n v="1"/>
    <s v="North"/>
    <s v="Clean"/>
    <s v="First Class"/>
  </r>
  <r>
    <s v="Ord-2025-10827"/>
    <x v="138"/>
    <d v="2025-08-14T00:00:00"/>
    <s v="Cust-4375"/>
    <s v="Aditi Sen"/>
    <x v="0"/>
    <x v="3"/>
    <x v="0"/>
    <s v="Udaipur"/>
    <x v="2"/>
    <x v="5"/>
    <s v="Elite Accessories 790"/>
    <x v="3"/>
    <n v="5"/>
    <n v="2190.14"/>
    <n v="0.25"/>
    <n v="8213.02"/>
    <n v="5569.3"/>
    <n v="2643.72"/>
    <x v="0"/>
    <x v="0"/>
    <s v="August"/>
    <s v="Invalid"/>
    <s v="OK"/>
    <n v="0.25"/>
    <n v="1"/>
    <n v="2643.7249999999995"/>
    <n v="8213.0249999999996"/>
    <n v="-55"/>
    <s v="West"/>
    <s v="ivalid"/>
    <s v="Standard Class"/>
  </r>
  <r>
    <s v="Ord-2024-10828"/>
    <x v="441"/>
    <d v="2024-12-01T00:00:00"/>
    <s v="Cust-5125"/>
    <s v="Priya Menon"/>
    <x v="3"/>
    <x v="2"/>
    <x v="17"/>
    <s v="Chennai"/>
    <x v="0"/>
    <x v="0"/>
    <s v="Basic Paper 707"/>
    <x v="1"/>
    <n v="1"/>
    <n v="844.89"/>
    <n v="0.25"/>
    <n v="633.66999999999996"/>
    <n v="520.47"/>
    <n v="113.2"/>
    <x v="0"/>
    <x v="1"/>
    <s v="December"/>
    <s v="OK"/>
    <s v="OK"/>
    <n v="0.25"/>
    <n v="1"/>
    <n v="113.19749999999999"/>
    <n v="633.66750000000002"/>
    <n v="7"/>
    <s v="South"/>
    <s v="Clean"/>
    <s v="Same Day"/>
  </r>
  <r>
    <s v="Ord-2025-10829"/>
    <x v="39"/>
    <d v="2025-10-11T00:00:00"/>
    <s v="Cust-6010"/>
    <s v="Karan Malhotra"/>
    <x v="2"/>
    <x v="1"/>
    <x v="1"/>
    <s v="Bhubaneswar"/>
    <x v="1"/>
    <x v="4"/>
    <s v="Elite Chairs 979"/>
    <x v="0"/>
    <n v="7"/>
    <n v="3791.96"/>
    <n v="0.05"/>
    <n v="25216.53"/>
    <n v="14216.94"/>
    <n v="10999.59"/>
    <x v="3"/>
    <x v="1"/>
    <s v="October"/>
    <s v="OK"/>
    <s v="OK"/>
    <n v="0.05"/>
    <n v="1"/>
    <n v="10999.593999999999"/>
    <n v="25216.534"/>
    <n v="1"/>
    <s v="East"/>
    <s v="Clean"/>
    <s v="Second Class"/>
  </r>
  <r>
    <s v="Ord-2024-10830"/>
    <x v="379"/>
    <d v="2024-02-28T00:00:00"/>
    <s v="Cust-9036"/>
    <s v="Aditi Sen"/>
    <x v="1"/>
    <x v="3"/>
    <x v="14"/>
    <s v="Panaji"/>
    <x v="1"/>
    <x v="3"/>
    <s v="Pro Furnishings 192"/>
    <x v="0"/>
    <n v="7"/>
    <n v="1035.1400000000001"/>
    <n v="0.1"/>
    <n v="6521.38"/>
    <n v="4511.1000000000004"/>
    <n v="2010.28"/>
    <x v="0"/>
    <x v="0"/>
    <s v="February"/>
    <s v="OK"/>
    <s v="OK"/>
    <n v="0.1"/>
    <n v="1"/>
    <n v="2010.2820000000002"/>
    <n v="6521.3820000000005"/>
    <n v="2"/>
    <s v="West"/>
    <s v="Clean"/>
    <s v="Second Class"/>
  </r>
  <r>
    <s v="Ord-2025-10831"/>
    <x v="18"/>
    <d v="2025-07-18T00:00:00"/>
    <s v="Cust-7929"/>
    <s v="Aditi Sen"/>
    <x v="1"/>
    <x v="4"/>
    <x v="17"/>
    <s v="Chennai"/>
    <x v="2"/>
    <x v="12"/>
    <s v="Smart Machines 951"/>
    <x v="2"/>
    <n v="6"/>
    <n v="2382.88"/>
    <n v="0.1"/>
    <n v="12867.55"/>
    <n v="10068.94"/>
    <n v="2798.61"/>
    <x v="0"/>
    <x v="0"/>
    <s v="July"/>
    <s v="OK"/>
    <s v="OK"/>
    <n v="0.1"/>
    <n v="1"/>
    <n v="2798.612000000001"/>
    <n v="12867.552000000001"/>
    <n v="3"/>
    <s v="Unknown"/>
    <s v="Clean"/>
    <s v="First Class"/>
  </r>
  <r>
    <s v="Ord-2025-10832"/>
    <x v="487"/>
    <d v="2025-04-03T00:00:00"/>
    <s v="Cust-1106"/>
    <s v="Diya Patel"/>
    <x v="3"/>
    <x v="4"/>
    <x v="16"/>
    <s v="Gurugram"/>
    <x v="1"/>
    <x v="4"/>
    <s v="Smart Chairs 794"/>
    <x v="2"/>
    <n v="9"/>
    <n v="3462.7"/>
    <n v="0.15"/>
    <n v="26489.65"/>
    <n v="15818.46"/>
    <n v="10671.19"/>
    <x v="3"/>
    <x v="2"/>
    <s v="April"/>
    <s v="OK"/>
    <s v="OK"/>
    <n v="0.15"/>
    <n v="1"/>
    <n v="10671.195"/>
    <n v="26489.654999999999"/>
    <n v="30"/>
    <s v="Unknown"/>
    <s v="Clean"/>
    <s v="First Class"/>
  </r>
  <r>
    <s v="Ord-2025-10833"/>
    <x v="219"/>
    <d v="2025-05-28T00:00:00"/>
    <s v="Cust-9557"/>
    <s v="Kabir Singh"/>
    <x v="1"/>
    <x v="2"/>
    <x v="5"/>
    <s v="Vijayawada"/>
    <x v="2"/>
    <x v="11"/>
    <s v="Max Phones 919"/>
    <x v="0"/>
    <n v="9"/>
    <n v="4302.0200000000004"/>
    <n v="0.05"/>
    <n v="36782.269999999997"/>
    <n v="25902.81"/>
    <n v="10879.46"/>
    <x v="0"/>
    <x v="0"/>
    <s v="May"/>
    <s v="OK"/>
    <s v="OK"/>
    <n v="0.05"/>
    <n v="1"/>
    <n v="10879.461000000007"/>
    <n v="36782.271000000008"/>
    <n v="2"/>
    <s v="South"/>
    <s v="Clean"/>
    <s v="Second Class"/>
  </r>
  <r>
    <s v="Ord-2024-10834"/>
    <x v="488"/>
    <d v="2024-04-06T00:00:00"/>
    <s v="Cust-2689"/>
    <s v="Rahul Verma"/>
    <x v="3"/>
    <x v="1"/>
    <x v="6"/>
    <s v="Kolkata"/>
    <x v="1"/>
    <x v="10"/>
    <s v="Basic Bookcases 499"/>
    <x v="2"/>
    <n v="6"/>
    <n v="3949.4"/>
    <n v="0"/>
    <n v="23696.400000000001"/>
    <n v="18109.77"/>
    <n v="5586.63"/>
    <x v="0"/>
    <x v="0"/>
    <s v="April"/>
    <s v="Invalid"/>
    <s v="OK"/>
    <n v="0"/>
    <n v="1"/>
    <n v="5586.630000000001"/>
    <n v="23696.400000000001"/>
    <n v="0"/>
    <s v="East"/>
    <s v="Clean"/>
    <s v="First Class"/>
  </r>
  <r>
    <s v="Ord-2024-10835"/>
    <x v="101"/>
    <d v="2024-10-22T00:00:00"/>
    <s v="Cust-2879"/>
    <s v="Aarav Sharma"/>
    <x v="3"/>
    <x v="2"/>
    <x v="2"/>
    <s v="Hyderabad"/>
    <x v="0"/>
    <x v="2"/>
    <s v="Basic Art 143"/>
    <x v="2"/>
    <n v="6"/>
    <n v="674.61"/>
    <n v="0"/>
    <n v="4047.66"/>
    <n v="3078.93"/>
    <n v="1279.79"/>
    <x v="0"/>
    <x v="0"/>
    <s v="October"/>
    <s v="OK"/>
    <s v="OK"/>
    <n v="0"/>
    <n v="1"/>
    <n v="968.73"/>
    <n v="4047.66"/>
    <n v="4"/>
    <s v="South"/>
    <s v="Clean"/>
    <s v="First Class"/>
  </r>
  <r>
    <s v="Ord-2025-10836"/>
    <x v="305"/>
    <d v="2025-10-04T00:00:00"/>
    <s v="Cust-5150"/>
    <s v="Priya Menon"/>
    <x v="1"/>
    <x v="1"/>
    <x v="10"/>
    <s v="Guwahati"/>
    <x v="2"/>
    <x v="11"/>
    <s v="Prime Phones 338"/>
    <x v="0"/>
    <n v="7"/>
    <n v="1509.59"/>
    <n v="0.05"/>
    <n v="10038.77"/>
    <n v="5673.1"/>
    <n v="4365.67"/>
    <x v="0"/>
    <x v="0"/>
    <s v="October"/>
    <s v="OK"/>
    <s v="OK"/>
    <n v="0.05"/>
    <n v="1"/>
    <n v="4365.673499999999"/>
    <n v="10038.773499999999"/>
    <n v="8"/>
    <s v="East"/>
    <s v="Clean"/>
    <s v="Second Class"/>
  </r>
  <r>
    <s v="Ord-2024-10837"/>
    <x v="359"/>
    <d v="2024-12-18T00:00:00"/>
    <s v="Cust-9776"/>
    <s v="Isha Nair"/>
    <x v="1"/>
    <x v="0"/>
    <x v="0"/>
    <s v="Jaipur"/>
    <x v="0"/>
    <x v="7"/>
    <s v="Smart Labels 814"/>
    <x v="0"/>
    <n v="2"/>
    <n v="537.11"/>
    <n v="0"/>
    <n v="1074.22"/>
    <n v="850.86"/>
    <n v="223.36"/>
    <x v="0"/>
    <x v="0"/>
    <s v="December"/>
    <s v="OK"/>
    <s v="OK"/>
    <n v="0"/>
    <n v="1"/>
    <n v="223.36"/>
    <n v="1074.22"/>
    <n v="3"/>
    <s v="North"/>
    <s v="Clean"/>
    <s v="Second Class"/>
  </r>
  <r>
    <s v="Ord-2025-10838"/>
    <x v="74"/>
    <d v="2025-09-28T00:00:00"/>
    <s v="Cust-2551"/>
    <s v="Karan Malhotra"/>
    <x v="3"/>
    <x v="3"/>
    <x v="3"/>
    <s v="Mumbai"/>
    <x v="0"/>
    <x v="0"/>
    <s v="Prime Paper 812"/>
    <x v="2"/>
    <n v="3"/>
    <n v="4177.63"/>
    <n v="0.25"/>
    <n v="9399.67"/>
    <n v="6540.37"/>
    <n v="2859.3"/>
    <x v="0"/>
    <x v="0"/>
    <s v="September"/>
    <s v="OK"/>
    <s v="OK"/>
    <n v="0.25"/>
    <n v="1"/>
    <n v="2859.2974999999997"/>
    <n v="9399.6674999999996"/>
    <n v="1"/>
    <s v="West"/>
    <s v="Clean"/>
    <s v="First Class"/>
  </r>
  <r>
    <s v="Ord-2025-10839"/>
    <x v="487"/>
    <d v="2025-04-07T00:00:00"/>
    <s v="Cust-4708"/>
    <s v="Ananya Rao"/>
    <x v="1"/>
    <x v="3"/>
    <x v="14"/>
    <s v="Panaji"/>
    <x v="0"/>
    <x v="0"/>
    <s v="Pro Paper 355"/>
    <x v="1"/>
    <n v="1"/>
    <n v="1470.57"/>
    <n v="0"/>
    <n v="1470.57"/>
    <n v="834.02"/>
    <n v="636.54999999999995"/>
    <x v="0"/>
    <x v="2"/>
    <s v="April"/>
    <s v="OK"/>
    <s v="OK"/>
    <n v="0"/>
    <n v="1"/>
    <n v="636.54999999999995"/>
    <n v="1470.57"/>
    <n v="34"/>
    <s v="West"/>
    <s v="Clean"/>
    <s v="Same Day"/>
  </r>
  <r>
    <s v="Ord-2024-10840"/>
    <x v="489"/>
    <d v="2024-09-22T00:00:00"/>
    <s v="Cust-8206"/>
    <s v="Rohan Mehta"/>
    <x v="3"/>
    <x v="1"/>
    <x v="1"/>
    <s v="Bhubaneswar"/>
    <x v="2"/>
    <x v="11"/>
    <s v="Basic Phones 398"/>
    <x v="3"/>
    <n v="8"/>
    <n v="531.42999999999995"/>
    <n v="0.1"/>
    <n v="3826.3"/>
    <n v="2194.12"/>
    <n v="1632.18"/>
    <x v="0"/>
    <x v="0"/>
    <s v="September"/>
    <s v="OK"/>
    <s v="OK"/>
    <n v="0.1"/>
    <n v="1"/>
    <n v="1632.1759999999999"/>
    <n v="3826.2959999999998"/>
    <n v="2"/>
    <s v="East"/>
    <s v="Clean"/>
    <s v="Standard Class"/>
  </r>
  <r>
    <s v="Ord-2025-10841"/>
    <x v="283"/>
    <d v="2025-09-19T00:00:00"/>
    <s v="Cust-1297"/>
    <s v="Neha Gupta"/>
    <x v="3"/>
    <x v="0"/>
    <x v="18"/>
    <s v="New Delhi"/>
    <x v="1"/>
    <x v="4"/>
    <s v="Classic Chairs 204"/>
    <x v="1"/>
    <n v="4"/>
    <n v="1584.11"/>
    <n v="0"/>
    <n v="6336.44"/>
    <n v="4680.68"/>
    <n v="1655.76"/>
    <x v="0"/>
    <x v="0"/>
    <s v="September"/>
    <s v="Invalid"/>
    <s v="OK"/>
    <n v="0"/>
    <n v="1"/>
    <n v="1655.7599999999993"/>
    <n v="6336.44"/>
    <n v="0"/>
    <s v="North"/>
    <s v="Clean"/>
    <s v="Same Day"/>
  </r>
  <r>
    <s v="Ord-2025-10842"/>
    <x v="490"/>
    <d v="2025-02-12T00:00:00"/>
    <s v="Cust-7558"/>
    <s v="Ananya Rao"/>
    <x v="1"/>
    <x v="1"/>
    <x v="9"/>
    <s v="Patna"/>
    <x v="0"/>
    <x v="2"/>
    <s v="Max Art 339"/>
    <x v="3"/>
    <n v="9"/>
    <n v="3237.16"/>
    <n v="0.25"/>
    <n v="21850.83"/>
    <n v="16600.13"/>
    <n v="5250.7"/>
    <x v="0"/>
    <x v="0"/>
    <s v="February"/>
    <s v="Invalid"/>
    <s v="OK"/>
    <n v="0.25"/>
    <n v="1"/>
    <n v="5250.6999999999971"/>
    <n v="21850.829999999998"/>
    <n v="-110"/>
    <s v="East"/>
    <s v="ivalid"/>
    <s v="Standard Class"/>
  </r>
  <r>
    <s v="Ord-2024-10843"/>
    <x v="361"/>
    <d v="2024-03-30T00:00:00"/>
    <s v="Cust-1798"/>
    <s v="Kabir Singh"/>
    <x v="0"/>
    <x v="0"/>
    <x v="16"/>
    <s v="Gurugram"/>
    <x v="2"/>
    <x v="12"/>
    <s v="Smart Machines 581"/>
    <x v="2"/>
    <n v="4"/>
    <n v="2192.08"/>
    <n v="0.15"/>
    <n v="7453.07"/>
    <n v="5133.78"/>
    <n v="2319.29"/>
    <x v="0"/>
    <x v="2"/>
    <s v="March"/>
    <s v="Invalid"/>
    <s v="OK"/>
    <n v="0.15"/>
    <n v="1"/>
    <n v="2319.2919999999995"/>
    <n v="7453.0719999999992"/>
    <n v="-1"/>
    <s v="North"/>
    <s v="ivalid"/>
    <s v="First Class"/>
  </r>
  <r>
    <s v="Ord-2025-10844"/>
    <x v="370"/>
    <d v="2025-07-25T00:00:00"/>
    <s v="Cust-7333"/>
    <s v="Priya Menon"/>
    <x v="1"/>
    <x v="0"/>
    <x v="8"/>
    <s v="Noida"/>
    <x v="2"/>
    <x v="11"/>
    <s v="Prime Phones 482"/>
    <x v="2"/>
    <n v="9"/>
    <n v="3989.52"/>
    <n v="-0.02"/>
    <n v="35905.68"/>
    <n v="23916.1"/>
    <n v="11989.58"/>
    <x v="0"/>
    <x v="0"/>
    <s v="July"/>
    <s v="OK"/>
    <s v="Negative Discount"/>
    <n v="-0.02"/>
    <n v="1"/>
    <n v="12707.693600000006"/>
    <n v="36623.793600000005"/>
    <n v="7"/>
    <s v="North"/>
    <s v="ivalid"/>
    <s v="First Class"/>
  </r>
  <r>
    <s v="Ord-2025-10845"/>
    <x v="145"/>
    <d v="2025-01-25T00:00:00"/>
    <s v="Cust-2086"/>
    <s v="Aditi Sen"/>
    <x v="3"/>
    <x v="3"/>
    <x v="14"/>
    <s v="Panaji"/>
    <x v="0"/>
    <x v="2"/>
    <s v="Pro Art 588"/>
    <x v="2"/>
    <n v="1"/>
    <n v="3515.15"/>
    <n v="0"/>
    <n v="3515.15"/>
    <n v="2216.34"/>
    <n v="1298.81"/>
    <x v="0"/>
    <x v="0"/>
    <s v="January"/>
    <s v="OK"/>
    <s v="OK"/>
    <n v="0"/>
    <n v="1"/>
    <n v="1298.81"/>
    <n v="3515.15"/>
    <n v="5"/>
    <s v="West"/>
    <s v="Clean"/>
    <s v="First Class"/>
  </r>
  <r>
    <s v="Ord-2024-10846"/>
    <x v="346"/>
    <d v="2024-02-27T00:00:00"/>
    <s v="Cust-2367"/>
    <s v="Karan Malhotra"/>
    <x v="0"/>
    <x v="1"/>
    <x v="1"/>
    <s v="Bhubaneswar"/>
    <x v="1"/>
    <x v="1"/>
    <s v="Eco Tables 792"/>
    <x v="2"/>
    <n v="9"/>
    <n v="3616.23"/>
    <n v="0.25"/>
    <n v="24409.55"/>
    <n v="17157.580000000002"/>
    <n v="7251.97"/>
    <x v="2"/>
    <x v="2"/>
    <s v="February"/>
    <s v="OK"/>
    <s v="OK"/>
    <n v="0.25"/>
    <n v="1"/>
    <n v="7251.9724999999962"/>
    <n v="24409.552499999998"/>
    <n v="4"/>
    <s v="East"/>
    <s v="Clean"/>
    <s v="First Class"/>
  </r>
  <r>
    <s v="Ord-2024-10847"/>
    <x v="472"/>
    <d v="2024-04-22T00:00:00"/>
    <s v="Cust-6522"/>
    <s v="Priya Menon"/>
    <x v="1"/>
    <x v="3"/>
    <x v="12"/>
    <s v="Ahmedabad"/>
    <x v="1"/>
    <x v="10"/>
    <s v="Prime Bookcases 177"/>
    <x v="3"/>
    <n v="2"/>
    <n v="3977.52"/>
    <n v="0"/>
    <n v="7955.04"/>
    <n v="5580.68"/>
    <n v="2374.36"/>
    <x v="2"/>
    <x v="2"/>
    <s v="April"/>
    <s v="OK"/>
    <s v="OK"/>
    <n v="0"/>
    <n v="1"/>
    <n v="2374.3599999999997"/>
    <n v="7955.04"/>
    <n v="8"/>
    <s v="West"/>
    <s v="Clean"/>
    <s v="Standard Class"/>
  </r>
  <r>
    <s v="Ord-2025-10848"/>
    <x v="10"/>
    <d v="2025-05-22T00:00:00"/>
    <s v="Cust-8329"/>
    <s v="Diya Patel"/>
    <x v="3"/>
    <x v="1"/>
    <x v="1"/>
    <s v="Bhubaneswar"/>
    <x v="1"/>
    <x v="1"/>
    <s v="Pro Tables 828"/>
    <x v="0"/>
    <n v="2"/>
    <n v="210.08"/>
    <n v="0.2"/>
    <n v="336.13"/>
    <n v="242.19"/>
    <n v="93.94"/>
    <x v="0"/>
    <x v="0"/>
    <s v="May"/>
    <s v="OK"/>
    <s v="OK"/>
    <n v="0.2"/>
    <n v="1"/>
    <n v="93.938000000000045"/>
    <n v="336.12800000000004"/>
    <n v="2"/>
    <s v="East"/>
    <s v="Clean"/>
    <s v="Second Class"/>
  </r>
  <r>
    <s v="Ord-2025-10849"/>
    <x v="261"/>
    <d v="2025-05-29T00:00:00"/>
    <s v="Cust-4426"/>
    <s v="Rahul Verma"/>
    <x v="3"/>
    <x v="2"/>
    <x v="17"/>
    <s v="Chennai"/>
    <x v="1"/>
    <x v="3"/>
    <s v="Elite Furnishings 480"/>
    <x v="0"/>
    <n v="1"/>
    <n v="1744.35"/>
    <n v="0.25"/>
    <n v="1308.26"/>
    <n v="1083.56"/>
    <n v="224.7"/>
    <x v="0"/>
    <x v="0"/>
    <s v="May"/>
    <s v="OK"/>
    <s v="OK"/>
    <n v="0.25"/>
    <n v="1"/>
    <n v="224.70249999999987"/>
    <n v="1308.2624999999998"/>
    <n v="2"/>
    <s v="South"/>
    <s v="Clean"/>
    <s v="Second Class"/>
  </r>
  <r>
    <s v="Ord-2024-10850"/>
    <x v="242"/>
    <d v="2024-03-12T00:00:00"/>
    <s v="Cust-3360"/>
    <s v="Isha Nair"/>
    <x v="3"/>
    <x v="3"/>
    <x v="12"/>
    <s v="Ahmedabad"/>
    <x v="1"/>
    <x v="10"/>
    <s v="Prime Bookcases 755"/>
    <x v="3"/>
    <n v="3"/>
    <n v="679.63"/>
    <n v="0.2"/>
    <n v="1631.11"/>
    <n v="898.73"/>
    <n v="396.58"/>
    <x v="0"/>
    <x v="0"/>
    <s v="March"/>
    <s v="Invalid"/>
    <s v="OK"/>
    <n v="0.2"/>
    <n v="1"/>
    <n v="732.38200000000006"/>
    <n v="1631.1120000000001"/>
    <n v="-83"/>
    <s v="West"/>
    <s v="ivalid"/>
    <s v="Standard Class"/>
  </r>
  <r>
    <s v="Ord-2024-10851"/>
    <x v="310"/>
    <d v="2024-07-03T00:00:00"/>
    <s v="Cust-2623"/>
    <s v="Priya Menon"/>
    <x v="3"/>
    <x v="1"/>
    <x v="6"/>
    <s v="Kolkata"/>
    <x v="0"/>
    <x v="0"/>
    <s v="Prime Paper 317"/>
    <x v="2"/>
    <n v="6"/>
    <n v="1211.01"/>
    <n v="0"/>
    <n v="7266.06"/>
    <n v="6216.89"/>
    <n v="1049.17"/>
    <x v="0"/>
    <x v="0"/>
    <s v="July"/>
    <s v="OK"/>
    <s v="OK"/>
    <n v="0"/>
    <n v="1"/>
    <n v="1049.1699999999992"/>
    <n v="7266.0599999999995"/>
    <n v="3"/>
    <s v="East"/>
    <s v="Clean"/>
    <s v="First Class"/>
  </r>
  <r>
    <s v="Ord-2024-10852"/>
    <x v="491"/>
    <d v="2024-04-01T00:00:00"/>
    <s v="Cust-3175"/>
    <s v="Karan Malhotra"/>
    <x v="1"/>
    <x v="3"/>
    <x v="12"/>
    <s v="Ahmedabad"/>
    <x v="2"/>
    <x v="5"/>
    <s v="Classic Accessories 933"/>
    <x v="2"/>
    <n v="2"/>
    <n v="1161.3"/>
    <n v="0.2"/>
    <n v="1858.08"/>
    <n v="1590.75"/>
    <n v="267.33"/>
    <x v="0"/>
    <x v="0"/>
    <s v="April"/>
    <s v="OK"/>
    <s v="OK"/>
    <n v="0.2"/>
    <n v="1"/>
    <n v="267.32999999999993"/>
    <n v="1858.08"/>
    <n v="6"/>
    <s v="West"/>
    <s v="Clean"/>
    <s v="First Class"/>
  </r>
  <r>
    <s v="Ord-2024-10853"/>
    <x v="425"/>
    <d v="2024-04-08T00:00:00"/>
    <s v="Cust-9630"/>
    <s v="Ananya Rao"/>
    <x v="0"/>
    <x v="1"/>
    <x v="10"/>
    <s v="Guwahati"/>
    <x v="1"/>
    <x v="1"/>
    <s v="Smart Tables 513"/>
    <x v="0"/>
    <n v="7"/>
    <n v="4205.3500000000004"/>
    <n v="0.15"/>
    <n v="25021.83"/>
    <n v="15544.44"/>
    <n v="9477.39"/>
    <x v="2"/>
    <x v="1"/>
    <s v="April"/>
    <s v="OK"/>
    <s v="OK"/>
    <n v="0.15"/>
    <n v="1"/>
    <n v="9477.3925000000036"/>
    <n v="25021.832500000004"/>
    <n v="7"/>
    <s v="East"/>
    <s v="Clean"/>
    <s v="Second Class"/>
  </r>
  <r>
    <s v="Ord-2025-10854"/>
    <x v="492"/>
    <d v="2025-05-22T00:00:00"/>
    <s v="Cust-8274"/>
    <s v="Arjun Bose"/>
    <x v="2"/>
    <x v="2"/>
    <x v="17"/>
    <s v="Chennai"/>
    <x v="2"/>
    <x v="5"/>
    <s v="Elite Accessories 708"/>
    <x v="1"/>
    <n v="8"/>
    <n v="579.79999999999995"/>
    <n v="0.2"/>
    <n v="3710.72"/>
    <n v="3115.29"/>
    <n v="595.42999999999995"/>
    <x v="0"/>
    <x v="0"/>
    <s v="May"/>
    <s v="OK"/>
    <s v="OK"/>
    <n v="0.2"/>
    <n v="1"/>
    <n v="595.42999999999984"/>
    <n v="3710.72"/>
    <n v="6"/>
    <s v="South"/>
    <s v="Clean"/>
    <s v="Same Day"/>
  </r>
  <r>
    <s v="Ord-2025-10855"/>
    <x v="367"/>
    <d v="2025-02-04T00:00:00"/>
    <s v="Cust-2514"/>
    <s v="Priya Menon"/>
    <x v="0"/>
    <x v="2"/>
    <x v="11"/>
    <s v="Bengaluru"/>
    <x v="1"/>
    <x v="10"/>
    <s v="Max Bookcases 381"/>
    <x v="0"/>
    <n v="4"/>
    <n v="2233.64"/>
    <n v="0.05"/>
    <n v="8487.83"/>
    <n v="5245.72"/>
    <n v="3242.11"/>
    <x v="0"/>
    <x v="0"/>
    <s v="February"/>
    <s v="Invalid"/>
    <s v="OK"/>
    <n v="0.05"/>
    <n v="1"/>
    <n v="3242.1119999999983"/>
    <n v="8487.8319999999985"/>
    <n v="-49"/>
    <s v="South"/>
    <s v="ivalid"/>
    <s v="Second Class"/>
  </r>
  <r>
    <s v="Ord-2024-10856"/>
    <x v="206"/>
    <d v="2024-08-02T00:00:00"/>
    <s v="Cust-2752"/>
    <s v="Rahul Verma"/>
    <x v="0"/>
    <x v="0"/>
    <x v="0"/>
    <s v="Jaipur"/>
    <x v="0"/>
    <x v="7"/>
    <s v="Classic Labels 215"/>
    <x v="0"/>
    <n v="2"/>
    <n v="2073.5300000000002"/>
    <n v="0.25"/>
    <n v="3110.3"/>
    <n v="2101.0300000000002"/>
    <n v="1009.27"/>
    <x v="0"/>
    <x v="0"/>
    <s v="August"/>
    <s v="OK"/>
    <s v="OK"/>
    <n v="0.25"/>
    <n v="1"/>
    <n v="1009.2649999999999"/>
    <n v="3110.2950000000001"/>
    <n v="8"/>
    <s v="North"/>
    <s v="Clean"/>
    <s v="Second Class"/>
  </r>
  <r>
    <s v="Ord-2024-10857"/>
    <x v="109"/>
    <d v="2024-06-19T00:00:00"/>
    <s v="Cust-5647"/>
    <s v="Rohan Mehta"/>
    <x v="3"/>
    <x v="2"/>
    <x v="17"/>
    <s v="Chennai"/>
    <x v="0"/>
    <x v="8"/>
    <s v="Classic Storage 918"/>
    <x v="3"/>
    <n v="4"/>
    <n v="395.1"/>
    <n v="-0.16"/>
    <n v="1185.3"/>
    <n v="966.55"/>
    <n v="218.75"/>
    <x v="3"/>
    <x v="1"/>
    <s v="June"/>
    <s v="Invalid"/>
    <s v="Negative Discount"/>
    <n v="-0.16"/>
    <n v="1"/>
    <n v="866.71399999999994"/>
    <n v="1833.2639999999999"/>
    <n v="-170"/>
    <s v="South"/>
    <s v="ivalid"/>
    <s v="Standard Class"/>
  </r>
  <r>
    <s v="Ord-2024-10858"/>
    <x v="488"/>
    <d v="2024-06-04T00:00:00"/>
    <s v="Cust-8575"/>
    <s v="Sneha Kapoor"/>
    <x v="3"/>
    <x v="2"/>
    <x v="13"/>
    <s v="Kochi"/>
    <x v="0"/>
    <x v="8"/>
    <s v="Max Storage 223"/>
    <x v="2"/>
    <n v="6"/>
    <n v="2708.97"/>
    <n v="0.25"/>
    <n v="12190.36"/>
    <n v="10176.99"/>
    <n v="2013.37"/>
    <x v="0"/>
    <x v="0"/>
    <s v="June"/>
    <s v="OK"/>
    <s v="OK"/>
    <n v="0.25"/>
    <n v="1"/>
    <n v="2013.375"/>
    <n v="12190.365"/>
    <n v="59"/>
    <s v="South"/>
    <s v="Clean"/>
    <s v="First Class"/>
  </r>
  <r>
    <s v="Ord-2024-10859"/>
    <x v="195"/>
    <d v="2024-05-09T00:00:00"/>
    <s v="Cust-9576"/>
    <s v="Arjun Bose"/>
    <x v="0"/>
    <x v="1"/>
    <x v="1"/>
    <s v="Bhubaneswar"/>
    <x v="2"/>
    <x v="5"/>
    <s v="Basic Accessories 602"/>
    <x v="0"/>
    <n v="4"/>
    <n v="2904.86"/>
    <n v="0"/>
    <n v="11619.44"/>
    <n v="7184.32"/>
    <n v="4494.6400000000003"/>
    <x v="0"/>
    <x v="0"/>
    <s v="May"/>
    <s v="OK"/>
    <s v="OK"/>
    <n v="0"/>
    <n v="1"/>
    <n v="4435.1200000000008"/>
    <n v="11619.44"/>
    <n v="94"/>
    <s v="East"/>
    <s v="Clean"/>
    <s v="Second Class"/>
  </r>
  <r>
    <s v="Ord-2024-10860"/>
    <x v="466"/>
    <d v="2024-11-01T00:00:00"/>
    <s v="Cust-2395"/>
    <s v="Aditi Sen"/>
    <x v="2"/>
    <x v="2"/>
    <x v="17"/>
    <s v="Chennai"/>
    <x v="2"/>
    <x v="11"/>
    <s v="Elite Phones 394"/>
    <x v="3"/>
    <n v="6"/>
    <n v="4399.2"/>
    <n v="0.05"/>
    <n v="25075.439999999999"/>
    <n v="16282.74"/>
    <n v="8792.7000000000007"/>
    <x v="0"/>
    <x v="0"/>
    <s v="November"/>
    <s v="OK"/>
    <s v="OK"/>
    <n v="0.05"/>
    <n v="1"/>
    <n v="8792.6999999999953"/>
    <n v="25075.439999999995"/>
    <n v="5"/>
    <s v="South"/>
    <s v="Clean"/>
    <s v="Standard Class"/>
  </r>
  <r>
    <s v="Ord-2024-10861"/>
    <x v="473"/>
    <d v="2024-02-04T00:00:00"/>
    <s v="Cust-8941"/>
    <s v="Vikram Iyer"/>
    <x v="3"/>
    <x v="0"/>
    <x v="8"/>
    <s v="Noida"/>
    <x v="0"/>
    <x v="8"/>
    <s v="Classic Storage 194"/>
    <x v="0"/>
    <n v="1"/>
    <n v="4397.32"/>
    <n v="0.05"/>
    <n v="4177.45"/>
    <n v="2299.5"/>
    <n v="1877.95"/>
    <x v="0"/>
    <x v="0"/>
    <s v="February"/>
    <s v="OK"/>
    <s v="OK"/>
    <n v="0.05"/>
    <n v="1"/>
    <n v="1877.9539999999997"/>
    <n v="4177.4539999999997"/>
    <n v="2"/>
    <s v="North"/>
    <s v="Clean"/>
    <s v="Second Class"/>
  </r>
  <r>
    <s v="Ord-2025-10862"/>
    <x v="493"/>
    <d v="2025-03-09T00:00:00"/>
    <s v="Cust-9448"/>
    <s v="Priya Menon"/>
    <x v="3"/>
    <x v="0"/>
    <x v="18"/>
    <s v="New Delhi"/>
    <x v="1"/>
    <x v="3"/>
    <s v="Smart Furnishings 892"/>
    <x v="1"/>
    <n v="4"/>
    <n v="3405.68"/>
    <n v="0.2"/>
    <n v="10898.18"/>
    <n v="6231.41"/>
    <n v="4666.7700000000004"/>
    <x v="0"/>
    <x v="0"/>
    <s v="March"/>
    <s v="Invalid"/>
    <s v="OK"/>
    <n v="0.2"/>
    <n v="1"/>
    <n v="4666.7659999999996"/>
    <n v="10898.175999999999"/>
    <n v="-147"/>
    <s v="North"/>
    <s v="ivalid"/>
    <s v="Same Day"/>
  </r>
  <r>
    <s v="Ord-2025-10863"/>
    <x v="494"/>
    <d v="2025-03-31T00:00:00"/>
    <s v="Cust-8354"/>
    <s v="Priya Menon"/>
    <x v="1"/>
    <x v="1"/>
    <x v="15"/>
    <s v="Ranchi"/>
    <x v="0"/>
    <x v="9"/>
    <s v="Pro Binders 488"/>
    <x v="2"/>
    <n v="5"/>
    <n v="1395.14"/>
    <n v="0"/>
    <n v="6975.7"/>
    <n v="4797.88"/>
    <n v="2177.8200000000002"/>
    <x v="0"/>
    <x v="1"/>
    <s v="March"/>
    <s v="OK"/>
    <s v="OK"/>
    <n v="0"/>
    <n v="1"/>
    <n v="2177.8200000000006"/>
    <n v="6975.7000000000007"/>
    <n v="5"/>
    <s v="East"/>
    <s v="Clean"/>
    <s v="First Class"/>
  </r>
  <r>
    <s v="Ord-2025-10864"/>
    <x v="495"/>
    <d v="2025-08-09T00:00:00"/>
    <s v="Cust-2200"/>
    <s v="Aarav Sharma"/>
    <x v="3"/>
    <x v="3"/>
    <x v="4"/>
    <s v="Indore"/>
    <x v="1"/>
    <x v="3"/>
    <s v="Prime Furnishings 679"/>
    <x v="1"/>
    <n v="3"/>
    <n v="2937.23"/>
    <n v="0"/>
    <n v="8811.69"/>
    <n v="6765.91"/>
    <n v="2045.78"/>
    <x v="0"/>
    <x v="0"/>
    <s v="August"/>
    <s v="OK"/>
    <s v="OK"/>
    <n v="0"/>
    <n v="1"/>
    <n v="2045.7800000000007"/>
    <n v="8811.69"/>
    <n v="61"/>
    <s v="West"/>
    <s v="Clean"/>
    <s v="Same Day"/>
  </r>
  <r>
    <s v="Ord-2025-10865"/>
    <x v="117"/>
    <d v="2025-09-05T00:00:00"/>
    <s v="Cust-1178"/>
    <s v="Vikram Iyer"/>
    <x v="0"/>
    <x v="2"/>
    <x v="17"/>
    <s v="Chennai"/>
    <x v="2"/>
    <x v="11"/>
    <s v="Smart Phones 158"/>
    <x v="2"/>
    <n v="5"/>
    <n v="3406.87"/>
    <n v="0"/>
    <n v="17034.349999999999"/>
    <n v="14631.36"/>
    <n v="2402.9899999999998"/>
    <x v="0"/>
    <x v="0"/>
    <s v="September"/>
    <s v="OK"/>
    <s v="OK"/>
    <n v="0"/>
    <n v="1"/>
    <n v="2402.989999999998"/>
    <n v="17034.349999999999"/>
    <n v="208"/>
    <s v="South"/>
    <s v="Clean"/>
    <s v="First Class"/>
  </r>
  <r>
    <s v="Ord-2025-10866"/>
    <x v="465"/>
    <d v="2025-02-14T00:00:00"/>
    <s v="Cust-8099"/>
    <s v="Kabir Singh"/>
    <x v="0"/>
    <x v="3"/>
    <x v="3"/>
    <s v="Mumbai"/>
    <x v="0"/>
    <x v="7"/>
    <s v="Classic Labels 218"/>
    <x v="0"/>
    <n v="2"/>
    <n v="3992.04"/>
    <n v="0"/>
    <n v="7984.08"/>
    <n v="5658.05"/>
    <n v="2326.0300000000002"/>
    <x v="0"/>
    <x v="0"/>
    <s v="February"/>
    <s v="OK"/>
    <s v="OK"/>
    <n v="0"/>
    <n v="1"/>
    <n v="2326.0299999999997"/>
    <n v="7984.08"/>
    <n v="8"/>
    <s v="West"/>
    <s v="Clean"/>
    <s v="Second Class"/>
  </r>
  <r>
    <s v="Ord-2025-10867"/>
    <x v="183"/>
    <d v="2025-03-06T00:00:00"/>
    <s v="Cust-7596"/>
    <s v="Priya Menon"/>
    <x v="0"/>
    <x v="1"/>
    <x v="9"/>
    <s v="Patna"/>
    <x v="1"/>
    <x v="10"/>
    <s v="Smart Bookcases 552"/>
    <x v="2"/>
    <n v="9"/>
    <n v="3043.37"/>
    <n v="0.2"/>
    <n v="21912.26"/>
    <n v="16367.78"/>
    <n v="5544.48"/>
    <x v="2"/>
    <x v="1"/>
    <s v="March"/>
    <s v="OK"/>
    <s v="OK"/>
    <n v="0.2"/>
    <n v="1"/>
    <n v="5544.4839999999986"/>
    <n v="21912.263999999999"/>
    <n v="8"/>
    <s v="East"/>
    <s v="Clean"/>
    <s v="First Class"/>
  </r>
  <r>
    <s v="Ord-2024-10868"/>
    <x v="436"/>
    <d v="2024-11-22T00:00:00"/>
    <s v="Cust-2328"/>
    <s v="Rahul Verma"/>
    <x v="3"/>
    <x v="2"/>
    <x v="5"/>
    <s v="Vijayawada"/>
    <x v="2"/>
    <x v="5"/>
    <s v="Eco Accessories 389"/>
    <x v="1"/>
    <n v="6"/>
    <n v="1043.49"/>
    <n v="0.25"/>
    <n v="4695.7"/>
    <n v="3871.69"/>
    <n v="824.01"/>
    <x v="3"/>
    <x v="1"/>
    <s v="November"/>
    <s v="OK"/>
    <s v="OK"/>
    <n v="0.25"/>
    <n v="1"/>
    <n v="824.01499999999987"/>
    <n v="4695.7049999999999"/>
    <n v="1"/>
    <s v="South"/>
    <s v="Clean"/>
    <s v="Same Day"/>
  </r>
  <r>
    <s v="Ord-2025-10869"/>
    <x v="125"/>
    <d v="2025-04-15T00:00:00"/>
    <s v="Cust-8483"/>
    <s v="Vikram Iyer"/>
    <x v="3"/>
    <x v="2"/>
    <x v="11"/>
    <s v="Bengaluru"/>
    <x v="0"/>
    <x v="8"/>
    <s v="Elite Storage 187"/>
    <x v="1"/>
    <n v="9"/>
    <n v="224.94"/>
    <n v="0.05"/>
    <n v="1923.24"/>
    <n v="1093.6600000000001"/>
    <n v="829.58"/>
    <x v="0"/>
    <x v="0"/>
    <s v="April"/>
    <s v="OK"/>
    <s v="OK"/>
    <n v="0.05"/>
    <n v="1"/>
    <n v="829.57699999999977"/>
    <n v="1923.2369999999999"/>
    <n v="4"/>
    <s v="South"/>
    <s v="Clean"/>
    <s v="Same Day"/>
  </r>
  <r>
    <s v="Ord-2025-10870"/>
    <x v="496"/>
    <d v="2025-03-07T00:00:00"/>
    <s v="Cust-2388"/>
    <s v="Rohan Mehta"/>
    <x v="3"/>
    <x v="4"/>
    <x v="18"/>
    <s v="New Delhi"/>
    <x v="1"/>
    <x v="4"/>
    <s v="Max Chairs 487"/>
    <x v="1"/>
    <n v="6"/>
    <n v="796.65"/>
    <n v="0.1"/>
    <n v="4301.91"/>
    <n v="2374.4"/>
    <n v="1927.51"/>
    <x v="0"/>
    <x v="0"/>
    <s v="March"/>
    <s v="Invalid"/>
    <s v="OK"/>
    <n v="0.1"/>
    <n v="1"/>
    <n v="1927.5099999999998"/>
    <n v="4301.91"/>
    <n v="-88"/>
    <s v="Unknown"/>
    <s v="ivalid"/>
    <s v="Same Day"/>
  </r>
  <r>
    <s v="Ord-2025-10871"/>
    <x v="295"/>
    <d v="2025-06-07T00:00:00"/>
    <s v="Cust-7054"/>
    <s v="Vikram Iyer"/>
    <x v="2"/>
    <x v="3"/>
    <x v="14"/>
    <s v="Panaji"/>
    <x v="1"/>
    <x v="1"/>
    <s v="Max Tables 281"/>
    <x v="3"/>
    <n v="9"/>
    <n v="2932.92"/>
    <n v="0.15"/>
    <n v="22436.84"/>
    <n v="17454.669999999998"/>
    <n v="4982.17"/>
    <x v="0"/>
    <x v="1"/>
    <s v="June"/>
    <s v="OK"/>
    <s v="OK"/>
    <n v="0.15"/>
    <n v="1"/>
    <n v="4982.1680000000015"/>
    <n v="22436.838"/>
    <n v="1"/>
    <s v="West"/>
    <s v="Clean"/>
    <s v="Standard Class"/>
  </r>
  <r>
    <s v="Ord-2024-10872"/>
    <x v="97"/>
    <d v="2024-02-22T00:00:00"/>
    <s v="Cust-4375"/>
    <s v="Neha Gupta"/>
    <x v="1"/>
    <x v="2"/>
    <x v="2"/>
    <s v="Hyderabad"/>
    <x v="2"/>
    <x v="5"/>
    <s v="Pro Accessories 325"/>
    <x v="2"/>
    <n v="9"/>
    <n v="2186.23"/>
    <n v="0"/>
    <n v="19676.07"/>
    <n v="12458.62"/>
    <n v="7217.45"/>
    <x v="1"/>
    <x v="1"/>
    <s v="February"/>
    <s v="OK"/>
    <s v="OK"/>
    <n v="0"/>
    <n v="1"/>
    <n v="7217.4499999999989"/>
    <n v="19676.07"/>
    <n v="2"/>
    <s v="South"/>
    <s v="Clean"/>
    <s v="First Class"/>
  </r>
  <r>
    <s v="Ord-2024-10873"/>
    <x v="497"/>
    <d v="2024-11-02T00:00:00"/>
    <s v="Cust-6262"/>
    <s v="Karan Malhotra"/>
    <x v="2"/>
    <x v="1"/>
    <x v="6"/>
    <s v="Kolkata"/>
    <x v="1"/>
    <x v="3"/>
    <s v="Prime Furnishings 178"/>
    <x v="3"/>
    <n v="5"/>
    <n v="2212.02"/>
    <n v="0.2"/>
    <n v="8848.08"/>
    <n v="5691.56"/>
    <n v="3156.52"/>
    <x v="0"/>
    <x v="0"/>
    <s v="November"/>
    <s v="OK"/>
    <s v="OK"/>
    <n v="0.2"/>
    <n v="1"/>
    <n v="3156.5199999999995"/>
    <n v="8848.08"/>
    <n v="296"/>
    <s v="East"/>
    <s v="Clean"/>
    <s v="Standard Class"/>
  </r>
  <r>
    <s v="Ord-2025-10874"/>
    <x v="95"/>
    <d v="2025-02-08T00:00:00"/>
    <s v="Cust-8160"/>
    <s v="Aditi Sen"/>
    <x v="3"/>
    <x v="3"/>
    <x v="12"/>
    <s v="Ahmedabad"/>
    <x v="0"/>
    <x v="8"/>
    <s v="Elite Storage 144"/>
    <x v="0"/>
    <n v="8"/>
    <n v="623.30999999999995"/>
    <n v="0.1"/>
    <n v="4487.83"/>
    <n v="2633.78"/>
    <n v="1854.05"/>
    <x v="0"/>
    <x v="0"/>
    <s v="February"/>
    <s v="OK"/>
    <s v="OK"/>
    <n v="0.1"/>
    <n v="1"/>
    <n v="1854.0519999999992"/>
    <n v="4487.8319999999994"/>
    <n v="37"/>
    <s v="West"/>
    <s v="Clean"/>
    <s v="Second Class"/>
  </r>
  <r>
    <s v="Ord-2025-10875"/>
    <x v="18"/>
    <d v="2025-07-16T00:00:00"/>
    <s v="Cust-8770"/>
    <s v="Vikram Iyer"/>
    <x v="1"/>
    <x v="3"/>
    <x v="3"/>
    <s v="Mumbai"/>
    <x v="0"/>
    <x v="0"/>
    <s v="Elite Paper 309"/>
    <x v="3"/>
    <n v="8"/>
    <n v="3924.88"/>
    <n v="0.05"/>
    <n v="29829.09"/>
    <n v="20710.18"/>
    <n v="9118.91"/>
    <x v="0"/>
    <x v="0"/>
    <s v="July"/>
    <s v="OK"/>
    <s v="OK"/>
    <n v="0.05"/>
    <n v="1"/>
    <n v="9118.9079999999994"/>
    <n v="29829.088"/>
    <n v="1"/>
    <s v="West"/>
    <s v="Clean"/>
    <s v="Standard Class"/>
  </r>
  <r>
    <s v="Ord-2024-10876"/>
    <x v="75"/>
    <d v="2024-11-08T00:00:00"/>
    <s v="Cust-6928"/>
    <s v="Mira Das"/>
    <x v="2"/>
    <x v="3"/>
    <x v="3"/>
    <s v="Mumbai"/>
    <x v="2"/>
    <x v="6"/>
    <s v="Elite Copiers 752"/>
    <x v="2"/>
    <n v="7"/>
    <n v="3852.62"/>
    <n v="0.2"/>
    <n v="21574.67"/>
    <n v="14672.83"/>
    <n v="6901.84"/>
    <x v="0"/>
    <x v="0"/>
    <s v="November"/>
    <s v="OK"/>
    <s v="OK"/>
    <n v="0.2"/>
    <n v="1"/>
    <n v="6901.8420000000024"/>
    <n v="21574.672000000002"/>
    <n v="31"/>
    <s v="West"/>
    <s v="Clean"/>
    <s v="First Class"/>
  </r>
  <r>
    <s v="Ord-2024-10877"/>
    <x v="363"/>
    <d v="2024-11-20T00:00:00"/>
    <s v="Cust-9044"/>
    <s v="Priya Menon"/>
    <x v="0"/>
    <x v="3"/>
    <x v="0"/>
    <s v="Udaipur"/>
    <x v="1"/>
    <x v="4"/>
    <s v="Pro Chairs 316"/>
    <x v="2"/>
    <n v="6"/>
    <n v="3790.22"/>
    <n v="0"/>
    <n v="22741.32"/>
    <n v="16388.57"/>
    <n v="6352.75"/>
    <x v="0"/>
    <x v="0"/>
    <s v="November"/>
    <s v="OK"/>
    <s v="OK"/>
    <n v="0"/>
    <n v="1"/>
    <n v="6352.75"/>
    <n v="22741.32"/>
    <n v="2"/>
    <s v="West"/>
    <s v="Clean"/>
    <s v="First Class"/>
  </r>
  <r>
    <s v="Ord-2025-10878"/>
    <x v="432"/>
    <d v="2025-09-03T00:00:00"/>
    <s v="Cust-7146"/>
    <s v="Aarav Sharma"/>
    <x v="0"/>
    <x v="3"/>
    <x v="0"/>
    <s v="Udaipur"/>
    <x v="0"/>
    <x v="8"/>
    <s v="Max Storage 438"/>
    <x v="0"/>
    <n v="6"/>
    <n v="674.36"/>
    <n v="0.1"/>
    <n v="3641.54"/>
    <n v="2690.37"/>
    <n v="951.17"/>
    <x v="0"/>
    <x v="0"/>
    <s v="September"/>
    <s v="OK"/>
    <s v="OK"/>
    <n v="0.1"/>
    <n v="1"/>
    <n v="951.17399999999998"/>
    <n v="3641.5439999999999"/>
    <n v="8"/>
    <s v="West"/>
    <s v="Clean"/>
    <s v="Second Class"/>
  </r>
  <r>
    <s v="Ord-2024-10879"/>
    <x v="167"/>
    <d v="2024-01-22T00:00:00"/>
    <s v="Cust-8534"/>
    <s v="Karan Malhotra"/>
    <x v="2"/>
    <x v="1"/>
    <x v="6"/>
    <s v="Kolkata"/>
    <x v="0"/>
    <x v="0"/>
    <s v="Basic Paper 904"/>
    <x v="2"/>
    <n v="8"/>
    <n v="1557.21"/>
    <n v="0.05"/>
    <n v="11834.8"/>
    <n v="9322.36"/>
    <n v="2512.44"/>
    <x v="0"/>
    <x v="0"/>
    <s v="January"/>
    <s v="Invalid"/>
    <s v="OK"/>
    <n v="0.05"/>
    <n v="1"/>
    <n v="2512.4359999999997"/>
    <n v="11834.796"/>
    <n v="0"/>
    <s v="East"/>
    <s v="Clean"/>
    <s v="First Class"/>
  </r>
  <r>
    <s v="Ord-2025-10880"/>
    <x v="468"/>
    <d v="2025-08-28T00:00:00"/>
    <s v="Cust-4486"/>
    <s v="Ananya Rao"/>
    <x v="3"/>
    <x v="0"/>
    <x v="8"/>
    <s v="Noida"/>
    <x v="0"/>
    <x v="2"/>
    <s v="Smart Art 990"/>
    <x v="3"/>
    <n v="6"/>
    <n v="1182.03"/>
    <n v="0.15"/>
    <n v="6028.35"/>
    <n v="4433.63"/>
    <n v="1594.72"/>
    <x v="0"/>
    <x v="0"/>
    <s v="August"/>
    <s v="OK"/>
    <s v="OK"/>
    <n v="0.15"/>
    <n v="1"/>
    <n v="1594.723"/>
    <n v="6028.3530000000001"/>
    <n v="1"/>
    <s v="North"/>
    <s v="Clean"/>
    <s v="Standard Class"/>
  </r>
  <r>
    <s v="Ord-2024-10881"/>
    <x v="77"/>
    <d v="2024-03-15T00:00:00"/>
    <s v="Cust-5287"/>
    <s v="Aarav Sharma"/>
    <x v="1"/>
    <x v="4"/>
    <x v="7"/>
    <s v="Ludhiana"/>
    <x v="1"/>
    <x v="4"/>
    <s v="Basic Chairs 327"/>
    <x v="2"/>
    <n v="5"/>
    <n v="3234.77"/>
    <n v="0"/>
    <n v="16173.85"/>
    <n v="13636.34"/>
    <n v="2537.5100000000002"/>
    <x v="0"/>
    <x v="0"/>
    <s v="March"/>
    <s v="OK"/>
    <s v="OK"/>
    <n v="0"/>
    <n v="1"/>
    <n v="2537.5100000000002"/>
    <n v="16173.85"/>
    <n v="7"/>
    <s v="Unknown"/>
    <s v="Clean"/>
    <s v="First Class"/>
  </r>
  <r>
    <s v="Ord-2024-10882"/>
    <x v="498"/>
    <d v="2024-12-05T00:00:00"/>
    <s v="Cust-3445"/>
    <s v="Ananya Rao"/>
    <x v="1"/>
    <x v="2"/>
    <x v="5"/>
    <s v="Vijayawada"/>
    <x v="2"/>
    <x v="6"/>
    <s v="Eco Copiers 987"/>
    <x v="0"/>
    <n v="9"/>
    <n v="3726.75"/>
    <n v="0.25"/>
    <n v="25155.56"/>
    <n v="17592.689999999999"/>
    <n v="7562.87"/>
    <x v="0"/>
    <x v="0"/>
    <s v="December"/>
    <s v="OK"/>
    <s v="OK"/>
    <n v="0.25"/>
    <n v="1"/>
    <n v="7562.8725000000013"/>
    <n v="25155.5625"/>
    <n v="328"/>
    <s v="South"/>
    <s v="Clean"/>
    <s v="Second Class"/>
  </r>
  <r>
    <s v="Ord-2025-10883"/>
    <x v="437"/>
    <d v="2025-10-02T00:00:00"/>
    <s v="Cust-4983"/>
    <s v="Sneha Kapoor"/>
    <x v="2"/>
    <x v="1"/>
    <x v="9"/>
    <s v="Patna"/>
    <x v="2"/>
    <x v="5"/>
    <s v="Basic Accessories 607"/>
    <x v="3"/>
    <n v="4"/>
    <n v="1912.45"/>
    <n v="0"/>
    <n v="7649.8"/>
    <n v="4894.53"/>
    <n v="2755.27"/>
    <x v="2"/>
    <x v="2"/>
    <s v="October"/>
    <s v="OK"/>
    <s v="OK"/>
    <n v="0"/>
    <n v="1"/>
    <n v="2755.2700000000004"/>
    <n v="7649.8"/>
    <n v="242"/>
    <s v="East"/>
    <s v="Clean"/>
    <s v="Standard Class"/>
  </r>
  <r>
    <s v="Ord-2025-10884"/>
    <x v="499"/>
    <d v="2025-01-05T00:00:00"/>
    <s v="Cust-2597"/>
    <s v="Aarav Sharma"/>
    <x v="1"/>
    <x v="3"/>
    <x v="14"/>
    <s v="Panaji"/>
    <x v="0"/>
    <x v="8"/>
    <s v="Classic Storage 211"/>
    <x v="1"/>
    <n v="1"/>
    <n v="1620.87"/>
    <n v="0"/>
    <n v="1620.87"/>
    <n v="1103.6099999999999"/>
    <n v="517.26"/>
    <x v="0"/>
    <x v="0"/>
    <s v="January"/>
    <s v="Invalid"/>
    <s v="OK"/>
    <n v="0"/>
    <n v="1"/>
    <n v="517.26"/>
    <n v="1620.87"/>
    <n v="-113"/>
    <s v="West"/>
    <s v="ivalid"/>
    <s v="Same Day"/>
  </r>
  <r>
    <s v="Ord-2025-10885"/>
    <x v="500"/>
    <d v="2025-01-25T00:00:00"/>
    <s v="Cust-7505"/>
    <s v="Neha Gupta"/>
    <x v="3"/>
    <x v="2"/>
    <x v="11"/>
    <s v="Bengaluru"/>
    <x v="0"/>
    <x v="8"/>
    <s v="Eco Storage 783"/>
    <x v="1"/>
    <n v="2"/>
    <n v="2098.54"/>
    <n v="0.15"/>
    <n v="3567.52"/>
    <n v="2411.8000000000002"/>
    <n v="1155.72"/>
    <x v="0"/>
    <x v="0"/>
    <s v="January"/>
    <s v="OK"/>
    <s v="OK"/>
    <n v="0.15"/>
    <n v="1"/>
    <n v="1155.7179999999998"/>
    <n v="3567.518"/>
    <n v="7"/>
    <s v="South"/>
    <s v="Clean"/>
    <s v="Same Day"/>
  </r>
  <r>
    <s v="Ord-2024-10886"/>
    <x v="501"/>
    <d v="2024-01-05T00:00:00"/>
    <s v="Cust-3446"/>
    <s v="Diya Patel"/>
    <x v="0"/>
    <x v="0"/>
    <x v="0"/>
    <s v="Jaipur"/>
    <x v="1"/>
    <x v="1"/>
    <s v="Pro Tables 866"/>
    <x v="3"/>
    <n v="1"/>
    <n v="2167.08"/>
    <n v="0.25"/>
    <n v="1625.31"/>
    <n v="1157.8900000000001"/>
    <n v="467.42"/>
    <x v="0"/>
    <x v="0"/>
    <s v="January"/>
    <s v="Invalid"/>
    <s v="OK"/>
    <n v="0.25"/>
    <n v="1"/>
    <n v="467.41999999999985"/>
    <n v="1625.31"/>
    <n v="-117"/>
    <s v="North"/>
    <s v="ivalid"/>
    <s v="Standard Class"/>
  </r>
  <r>
    <s v="Ord-2025-10887"/>
    <x v="502"/>
    <d v="2025-05-03T00:00:00"/>
    <s v="Cust-3549"/>
    <s v="Arjun Bose"/>
    <x v="3"/>
    <x v="2"/>
    <x v="17"/>
    <s v="Chennai"/>
    <x v="2"/>
    <x v="5"/>
    <s v="Max Accessories 541"/>
    <x v="2"/>
    <n v="7"/>
    <n v="3989.9"/>
    <n v="0.15"/>
    <n v="23739.9"/>
    <n v="17716.52"/>
    <n v="6023.38"/>
    <x v="0"/>
    <x v="1"/>
    <s v="May"/>
    <s v="OK"/>
    <s v="OK"/>
    <n v="0.15"/>
    <n v="1"/>
    <n v="6023.3849999999984"/>
    <n v="23739.904999999999"/>
    <n v="7"/>
    <s v="South"/>
    <s v="Clean"/>
    <s v="First Class"/>
  </r>
  <r>
    <s v="Ord-2024-10888"/>
    <x v="109"/>
    <d v="2024-06-18T00:00:00"/>
    <s v="Cust-2795"/>
    <s v="Aarav Sharma"/>
    <x v="1"/>
    <x v="2"/>
    <x v="5"/>
    <s v="Vijayawada"/>
    <x v="0"/>
    <x v="2"/>
    <s v="Prime Art 596"/>
    <x v="3"/>
    <n v="4"/>
    <n v="4176.13"/>
    <n v="0"/>
    <n v="16704.52"/>
    <n v="10158.280000000001"/>
    <n v="6546.24"/>
    <x v="0"/>
    <x v="0"/>
    <s v="June"/>
    <s v="Invalid"/>
    <s v="OK"/>
    <n v="0"/>
    <n v="1"/>
    <n v="6546.24"/>
    <n v="16704.52"/>
    <n v="-171"/>
    <s v="South"/>
    <s v="ivalid"/>
    <s v="Standard Class"/>
  </r>
  <r>
    <s v="Ord-2025-10889"/>
    <x v="503"/>
    <d v="2025-08-07T00:00:00"/>
    <s v="Cust-1081"/>
    <s v="Rahul Verma"/>
    <x v="1"/>
    <x v="3"/>
    <x v="3"/>
    <s v="Mumbai"/>
    <x v="0"/>
    <x v="2"/>
    <s v="Pro Art 620"/>
    <x v="3"/>
    <n v="4"/>
    <n v="3523.64"/>
    <n v="0.1"/>
    <n v="12685.1"/>
    <n v="10779.56"/>
    <n v="1905.54"/>
    <x v="1"/>
    <x v="1"/>
    <s v="August"/>
    <s v="OK"/>
    <s v="OK"/>
    <n v="0.1"/>
    <n v="1"/>
    <n v="1905.5439999999999"/>
    <n v="12685.103999999999"/>
    <n v="1"/>
    <s v="West"/>
    <s v="Clean"/>
    <s v="Standard Class"/>
  </r>
  <r>
    <s v="Ord-2025-10890"/>
    <x v="504"/>
    <d v="2025-11-03T00:00:00"/>
    <s v="Cust-8467"/>
    <s v="Aditi Sen"/>
    <x v="3"/>
    <x v="3"/>
    <x v="4"/>
    <s v="Indore"/>
    <x v="0"/>
    <x v="8"/>
    <s v="Prime Storage 806"/>
    <x v="2"/>
    <n v="2"/>
    <n v="3922.08"/>
    <n v="0.25"/>
    <n v="5883.12"/>
    <n v="4647.91"/>
    <n v="1235.21"/>
    <x v="0"/>
    <x v="2"/>
    <s v="November"/>
    <s v="OK"/>
    <s v="OK"/>
    <n v="0.25"/>
    <n v="1"/>
    <n v="1235.21"/>
    <n v="5883.12"/>
    <n v="31"/>
    <s v="West"/>
    <s v="Clean"/>
    <s v="First Class"/>
  </r>
  <r>
    <s v="Ord-2024-10891"/>
    <x v="179"/>
    <d v="2024-05-21T00:00:00"/>
    <s v="Cust-3992"/>
    <s v="Karan Malhotra"/>
    <x v="0"/>
    <x v="3"/>
    <x v="14"/>
    <s v="Panaji"/>
    <x v="0"/>
    <x v="8"/>
    <s v="Smart Storage 288"/>
    <x v="3"/>
    <n v="6"/>
    <n v="2909.56"/>
    <n v="0.2"/>
    <n v="13965.89"/>
    <n v="11646.12"/>
    <n v="2319.77"/>
    <x v="0"/>
    <x v="0"/>
    <s v="May"/>
    <s v="OK"/>
    <s v="OK"/>
    <n v="0.2"/>
    <n v="1"/>
    <n v="2319.768"/>
    <n v="13965.888000000001"/>
    <n v="6"/>
    <s v="West"/>
    <s v="Clean"/>
    <s v="Standard Class"/>
  </r>
  <r>
    <s v="Ord-2024-10892"/>
    <x v="505"/>
    <d v="2024-10-09T00:00:00"/>
    <s v="Cust-6647"/>
    <s v="Kabir Singh"/>
    <x v="2"/>
    <x v="2"/>
    <x v="17"/>
    <s v="Chennai"/>
    <x v="2"/>
    <x v="12"/>
    <s v="Elite Machines 281"/>
    <x v="1"/>
    <n v="5"/>
    <n v="2407.9699999999998"/>
    <n v="0.1"/>
    <n v="10835.86"/>
    <n v="6419.92"/>
    <n v="4415.9399999999996"/>
    <x v="3"/>
    <x v="1"/>
    <s v="October"/>
    <s v="OK"/>
    <s v="OK"/>
    <n v="0.1"/>
    <n v="1"/>
    <n v="4415.9449999999997"/>
    <n v="10835.865"/>
    <n v="60"/>
    <s v="South"/>
    <s v="Clean"/>
    <s v="Same Day"/>
  </r>
  <r>
    <s v="Ord-2025-10893"/>
    <x v="318"/>
    <d v="2025-04-18T00:00:00"/>
    <s v="Cust-5087"/>
    <s v="Isha Nair"/>
    <x v="1"/>
    <x v="1"/>
    <x v="15"/>
    <s v="Ranchi"/>
    <x v="2"/>
    <x v="6"/>
    <s v="Elite Copiers 221"/>
    <x v="1"/>
    <n v="1"/>
    <n v="726.89"/>
    <n v="0.2"/>
    <n v="581.51"/>
    <n v="423.86"/>
    <n v="157.65"/>
    <x v="0"/>
    <x v="0"/>
    <s v="April"/>
    <s v="Invalid"/>
    <s v="OK"/>
    <n v="0.2"/>
    <n v="1"/>
    <n v="157.65200000000004"/>
    <n v="581.51200000000006"/>
    <n v="-230"/>
    <s v="East"/>
    <s v="ivalid"/>
    <s v="Same Day"/>
  </r>
  <r>
    <s v="Ord-2024-10894"/>
    <x v="291"/>
    <d v="2024-06-08T00:00:00"/>
    <s v="Cust-9297"/>
    <s v="Aarav Sharma"/>
    <x v="2"/>
    <x v="2"/>
    <x v="11"/>
    <s v="Bengaluru"/>
    <x v="1"/>
    <x v="1"/>
    <s v="Max Tables 291"/>
    <x v="0"/>
    <n v="3"/>
    <n v="395.49"/>
    <n v="0.05"/>
    <n v="1127.1500000000001"/>
    <n v="845.62"/>
    <n v="281.52999999999997"/>
    <x v="0"/>
    <x v="2"/>
    <s v="June"/>
    <s v="OK"/>
    <s v="OK"/>
    <n v="0.05"/>
    <n v="1"/>
    <n v="281.52650000000006"/>
    <n v="1127.1465000000001"/>
    <n v="2"/>
    <s v="South"/>
    <s v="Clean"/>
    <s v="Second Class"/>
  </r>
  <r>
    <s v="Ord-2024-10895"/>
    <x v="404"/>
    <d v="2024-02-29T00:00:00"/>
    <s v="Cust-7996"/>
    <s v="Isha Nair"/>
    <x v="3"/>
    <x v="2"/>
    <x v="2"/>
    <s v="Hyderabad"/>
    <x v="1"/>
    <x v="1"/>
    <s v="Classic Tables 638"/>
    <x v="2"/>
    <n v="6"/>
    <n v="4254.05"/>
    <n v="0"/>
    <n v="25524.3"/>
    <n v="16711.93"/>
    <n v="8812.3700000000008"/>
    <x v="0"/>
    <x v="0"/>
    <s v="February"/>
    <s v="OK"/>
    <s v="OK"/>
    <n v="0"/>
    <n v="1"/>
    <n v="8812.3700000000026"/>
    <n v="25524.300000000003"/>
    <n v="7"/>
    <s v="South"/>
    <s v="Clean"/>
    <s v="First Class"/>
  </r>
  <r>
    <s v="Ord-2024-10896"/>
    <x v="8"/>
    <d v="2024-10-11T00:00:00"/>
    <s v="Cust-4117"/>
    <s v="Arjun Bose"/>
    <x v="0"/>
    <x v="2"/>
    <x v="13"/>
    <s v="Kochi"/>
    <x v="1"/>
    <x v="4"/>
    <s v="Basic Chairs 212"/>
    <x v="1"/>
    <n v="4"/>
    <n v="711.18"/>
    <n v="0.15"/>
    <n v="2418.0100000000002"/>
    <n v="1441.89"/>
    <n v="976.12"/>
    <x v="2"/>
    <x v="2"/>
    <s v="October"/>
    <s v="OK"/>
    <s v="OK"/>
    <n v="0.15"/>
    <n v="1"/>
    <n v="976.12199999999962"/>
    <n v="2418.0119999999997"/>
    <n v="153"/>
    <s v="South"/>
    <s v="Clean"/>
    <s v="Same Day"/>
  </r>
  <r>
    <s v="Ord-2024-10897"/>
    <x v="506"/>
    <d v="2024-12-25T00:00:00"/>
    <s v="Cust-4848"/>
    <s v="Ananya Rao"/>
    <x v="1"/>
    <x v="2"/>
    <x v="17"/>
    <s v="Chennai"/>
    <x v="2"/>
    <x v="6"/>
    <s v="Max Copiers 121"/>
    <x v="0"/>
    <n v="1"/>
    <n v="3693.03"/>
    <n v="0.05"/>
    <n v="3508.38"/>
    <n v="2828.06"/>
    <n v="680.32"/>
    <x v="3"/>
    <x v="2"/>
    <s v="December"/>
    <s v="OK"/>
    <s v="OK"/>
    <n v="0.05"/>
    <n v="1"/>
    <n v="680.31849999999986"/>
    <n v="3508.3784999999998"/>
    <n v="1"/>
    <s v="South"/>
    <s v="Clean"/>
    <s v="Second Class"/>
  </r>
  <r>
    <s v="Ord-2025-10898"/>
    <x v="187"/>
    <d v="2025-05-03T00:00:00"/>
    <s v="Cust-2897"/>
    <s v="Rohan Mehta"/>
    <x v="2"/>
    <x v="0"/>
    <x v="16"/>
    <s v="Gurugram"/>
    <x v="0"/>
    <x v="0"/>
    <s v="Eco Paper 747"/>
    <x v="2"/>
    <n v="4"/>
    <n v="1786.65"/>
    <n v="0.05"/>
    <n v="6789.27"/>
    <n v="5626.43"/>
    <n v="1162.8399999999999"/>
    <x v="0"/>
    <x v="0"/>
    <s v="May"/>
    <s v="OK"/>
    <s v="OK"/>
    <n v="0.05"/>
    <n v="1"/>
    <n v="1162.8400000000001"/>
    <n v="6789.27"/>
    <n v="4"/>
    <s v="North"/>
    <s v="Clean"/>
    <s v="First Class"/>
  </r>
  <r>
    <s v="Ord-2024-10899"/>
    <x v="207"/>
    <d v="2024-08-06T00:00:00"/>
    <s v="Cust-6046"/>
    <s v="Vikram Iyer"/>
    <x v="0"/>
    <x v="0"/>
    <x v="18"/>
    <s v="New Delhi"/>
    <x v="1"/>
    <x v="1"/>
    <s v="Classic Tables 535"/>
    <x v="2"/>
    <n v="4"/>
    <n v="1536.7"/>
    <n v="0.2"/>
    <n v="4917.4399999999996"/>
    <n v="3846.77"/>
    <n v="1070.67"/>
    <x v="0"/>
    <x v="0"/>
    <s v="August"/>
    <s v="OK"/>
    <s v="OK"/>
    <n v="0.2"/>
    <n v="1"/>
    <n v="1070.6700000000005"/>
    <n v="4917.4400000000005"/>
    <n v="182"/>
    <s v="North"/>
    <s v="Clean"/>
    <s v="First Class"/>
  </r>
  <r>
    <s v="Ord-2025-10900"/>
    <x v="261"/>
    <d v="2025-03-06T00:00:00"/>
    <s v="Cust-3789"/>
    <s v="Karan Malhotra"/>
    <x v="0"/>
    <x v="0"/>
    <x v="7"/>
    <s v="Ludhiana"/>
    <x v="1"/>
    <x v="4"/>
    <s v="Elite Chairs 971"/>
    <x v="2"/>
    <n v="5"/>
    <n v="881.08"/>
    <n v="0.25"/>
    <n v="3304.05"/>
    <n v="2279.41"/>
    <n v="1024.6400000000001"/>
    <x v="3"/>
    <x v="1"/>
    <s v="March"/>
    <s v="Invalid"/>
    <s v="OK"/>
    <n v="0.25"/>
    <n v="1"/>
    <n v="1024.6400000000003"/>
    <n v="3304.05"/>
    <n v="-82"/>
    <s v="North"/>
    <s v="ivalid"/>
    <s v="First Class"/>
  </r>
  <r>
    <s v="Ord-2024-10332"/>
    <x v="260"/>
    <d v="2024-12-06T00:00:00"/>
    <s v="Cust-9346"/>
    <s v="Sneha Kapoor"/>
    <x v="3"/>
    <x v="1"/>
    <x v="1"/>
    <s v="Bhubaneswar"/>
    <x v="0"/>
    <x v="9"/>
    <s v="Smart Binders 939"/>
    <x v="0"/>
    <n v="4"/>
    <n v="2685.66"/>
    <n v="0"/>
    <n v="10989.89"/>
    <n v="6477.37"/>
    <n v="4265.2700000000004"/>
    <x v="0"/>
    <x v="0"/>
    <s v="December"/>
    <s v="OK"/>
    <s v="OK"/>
    <n v="0"/>
    <n v="2"/>
    <n v="4265.2699999999995"/>
    <n v="10742.64"/>
    <n v="2"/>
    <s v="East"/>
    <s v="Clean"/>
    <s v="Second Class"/>
  </r>
  <r>
    <s v="Ord-2025-10091"/>
    <x v="84"/>
    <d v="2025-08-29T00:00:00"/>
    <s v="Cust-5909"/>
    <s v="Aarav Sharma"/>
    <x v="1"/>
    <x v="1"/>
    <x v="9"/>
    <s v="Patna"/>
    <x v="2"/>
    <x v="6"/>
    <s v="Smart Copiers 556"/>
    <x v="2"/>
    <n v="3"/>
    <n v="3703.96"/>
    <n v="0.15"/>
    <n v="9549.44"/>
    <n v="5586.28"/>
    <n v="3858.82"/>
    <x v="0"/>
    <x v="2"/>
    <s v="August"/>
    <s v="OK"/>
    <s v="OK"/>
    <n v="0.15"/>
    <n v="2"/>
    <n v="3858.8180000000002"/>
    <n v="9445.098"/>
    <n v="5"/>
    <s v="East"/>
    <s v="Clean"/>
    <s v="First Class"/>
  </r>
  <r>
    <s v="Ord-2025-10374"/>
    <x v="278"/>
    <d v="2025-04-13T00:00:00"/>
    <s v="Cust-8566"/>
    <s v="Sneha Kapoor"/>
    <x v="1"/>
    <x v="0"/>
    <x v="8"/>
    <s v="Noida"/>
    <x v="0"/>
    <x v="8"/>
    <s v="Prime Storage 951"/>
    <x v="0"/>
    <n v="9"/>
    <n v="1118.68"/>
    <n v="0"/>
    <n v="10348.43"/>
    <n v="8595.3700000000008"/>
    <n v="1472.75"/>
    <x v="0"/>
    <x v="2"/>
    <s v="April"/>
    <s v="Invalid"/>
    <s v="OK"/>
    <n v="0"/>
    <n v="2"/>
    <n v="1472.75"/>
    <n v="10068.120000000001"/>
    <n v="0"/>
    <s v="North"/>
    <s v="Clean"/>
    <s v="Second Class"/>
  </r>
  <r>
    <s v="Ord-2025-10225"/>
    <x v="189"/>
    <d v="2025-10-08T00:00:00"/>
    <s v="Cust-9871"/>
    <s v="Isha Nair"/>
    <x v="1"/>
    <x v="0"/>
    <x v="7"/>
    <s v="Ludhiana"/>
    <x v="1"/>
    <x v="3"/>
    <s v="Classic Furnishings 109"/>
    <x v="3"/>
    <n v="4"/>
    <n v="3944.64"/>
    <n v="0.25"/>
    <n v="12116.89"/>
    <n v="6682.92"/>
    <n v="5151"/>
    <x v="0"/>
    <x v="2"/>
    <s v="October"/>
    <s v="OK"/>
    <s v="OK"/>
    <n v="0.25"/>
    <n v="2"/>
    <n v="5151"/>
    <n v="11833.92"/>
    <n v="240"/>
    <s v="North"/>
    <s v="Clean"/>
    <s v="Standard Class"/>
  </r>
  <r>
    <s v="Ord-2025-10315"/>
    <x v="174"/>
    <d v="2025-05-20T00:00:00"/>
    <s v="Cust-1945"/>
    <s v="Isha Nair"/>
    <x v="2"/>
    <x v="3"/>
    <x v="4"/>
    <s v="Indore"/>
    <x v="0"/>
    <x v="7"/>
    <s v="Elite Labels 544"/>
    <x v="3"/>
    <n v="9"/>
    <n v="847.76"/>
    <n v="0.15"/>
    <n v="6589.37"/>
    <n v="5376.17"/>
    <n v="1109.19"/>
    <x v="3"/>
    <x v="0"/>
    <s v="May"/>
    <s v="OK"/>
    <s v="OK"/>
    <n v="0.15"/>
    <n v="2"/>
    <n v="1109.1939999999995"/>
    <n v="6485.3639999999996"/>
    <n v="2"/>
    <s v="West"/>
    <s v="Clean"/>
    <s v="Standard Class"/>
  </r>
  <r>
    <s v="Ord-2025-10171"/>
    <x v="9"/>
    <d v="2025-09-15T00:00:00"/>
    <s v="Cust-3734"/>
    <s v="Rohan Mehta"/>
    <x v="2"/>
    <x v="1"/>
    <x v="9"/>
    <s v="Patna"/>
    <x v="2"/>
    <x v="6"/>
    <s v="Eco Copiers 102"/>
    <x v="3"/>
    <n v="3"/>
    <n v="1711.32"/>
    <n v="0"/>
    <n v="5206.53"/>
    <n v="3930"/>
    <n v="1203.96"/>
    <x v="0"/>
    <x v="2"/>
    <s v="September"/>
    <s v="OK"/>
    <s v="OK"/>
    <n v="0"/>
    <n v="2"/>
    <n v="1203.96"/>
    <n v="5133.96"/>
    <n v="8"/>
    <s v="East"/>
    <s v="Clean"/>
    <s v="Standard Class"/>
  </r>
  <r>
    <s v="Ord-2024-10424"/>
    <x v="97"/>
    <d v="2024-02-27T00:00:00"/>
    <s v="Cust-6169"/>
    <s v="Diya Patel"/>
    <x v="0"/>
    <x v="2"/>
    <x v="13"/>
    <s v="Kochi"/>
    <x v="2"/>
    <x v="5"/>
    <s v="Prime Accessories 236"/>
    <x v="2"/>
    <n v="9"/>
    <n v="3779.31"/>
    <n v="0.2"/>
    <n v="27322.9"/>
    <n v="17940.43"/>
    <n v="9270.6"/>
    <x v="0"/>
    <x v="2"/>
    <s v="February"/>
    <s v="OK"/>
    <s v="OK"/>
    <n v="0.2"/>
    <n v="2"/>
    <n v="9270.6020000000026"/>
    <n v="27211.032000000003"/>
    <n v="7"/>
    <s v="South"/>
    <s v="Clean"/>
    <s v="First Class"/>
  </r>
  <r>
    <s v="Ord-2025-10572"/>
    <x v="225"/>
    <d v="2025-02-14T00:00:00"/>
    <s v="Cust-3425"/>
    <s v="Priya Menon"/>
    <x v="1"/>
    <x v="0"/>
    <x v="8"/>
    <s v="Noida"/>
    <x v="2"/>
    <x v="11"/>
    <s v="Prime Phones 895"/>
    <x v="4"/>
    <n v="5"/>
    <n v="4276.29"/>
    <n v="0"/>
    <n v="21443.63"/>
    <n v="13240.21"/>
    <n v="8141.24"/>
    <x v="3"/>
    <x v="0"/>
    <s v="February"/>
    <s v="Invalid"/>
    <s v="OK"/>
    <n v="0"/>
    <n v="2"/>
    <n v="8141.2400000000016"/>
    <n v="21381.45"/>
    <n v="-230"/>
    <s v="North"/>
    <s v="ivalid"/>
    <s v="Unknown"/>
  </r>
  <r>
    <s v="Ord-2024-10143"/>
    <x v="123"/>
    <d v="2024-03-26T00:00:00"/>
    <s v="Cust-8944"/>
    <s v="Aditi Sen"/>
    <x v="3"/>
    <x v="0"/>
    <x v="0"/>
    <s v="Jaipur"/>
    <x v="2"/>
    <x v="11"/>
    <s v="Classic Phones 142"/>
    <x v="0"/>
    <n v="5"/>
    <n v="907.54"/>
    <n v="0.15"/>
    <n v="4099.6899999999996"/>
    <n v="2769.26"/>
    <n v="1087.78"/>
    <x v="0"/>
    <x v="2"/>
    <s v="March"/>
    <s v="Invalid"/>
    <s v="OK"/>
    <n v="0.15"/>
    <n v="2"/>
    <n v="1087.7849999999994"/>
    <n v="3857.0449999999996"/>
    <n v="-4"/>
    <s v="North"/>
    <s v="ivalid"/>
    <s v="Second Class"/>
  </r>
  <r>
    <s v="Ord-2024-10273"/>
    <x v="227"/>
    <d v="2024-08-24T00:00:00"/>
    <s v="Cust-7389"/>
    <s v="Arjun Bose"/>
    <x v="0"/>
    <x v="2"/>
    <x v="5"/>
    <s v="Vijayawada"/>
    <x v="1"/>
    <x v="4"/>
    <s v="Eco Chairs 314"/>
    <x v="2"/>
    <n v="7"/>
    <n v="557.21"/>
    <n v="0.1"/>
    <n v="3797.79"/>
    <n v="2191.5"/>
    <n v="1213.48"/>
    <x v="0"/>
    <x v="2"/>
    <s v="August"/>
    <s v="OK"/>
    <s v="OK"/>
    <n v="0.1"/>
    <n v="2"/>
    <n v="1318.9230000000002"/>
    <n v="3510.4230000000002"/>
    <n v="6"/>
    <s v="South"/>
    <s v="Clean"/>
    <s v="First Class"/>
  </r>
  <r>
    <s v="Ord-2024-10124"/>
    <x v="5"/>
    <d v="2024-05-25T00:00:00"/>
    <s v="Cust-1007"/>
    <s v="Sneha Kapoor"/>
    <x v="1"/>
    <x v="0"/>
    <x v="7"/>
    <s v="Ludhiana"/>
    <x v="2"/>
    <x v="6"/>
    <s v="Max Copiers 970"/>
    <x v="1"/>
    <n v="1"/>
    <n v="634.13"/>
    <n v="0"/>
    <n v="808.67"/>
    <n v="453.35"/>
    <n v="180.78"/>
    <x v="1"/>
    <x v="2"/>
    <s v="May"/>
    <s v="OK"/>
    <s v="OK"/>
    <n v="0"/>
    <n v="2"/>
    <n v="180.77999999999997"/>
    <n v="634.13"/>
    <n v="1"/>
    <s v="North"/>
    <s v="Clean"/>
    <s v="Same Day"/>
  </r>
  <r>
    <s v="Ord-2025-10336"/>
    <x v="263"/>
    <d v="2025-06-18T00:00:00"/>
    <s v="Cust-3621"/>
    <s v="Rahul Verma"/>
    <x v="3"/>
    <x v="3"/>
    <x v="4"/>
    <s v="Indore"/>
    <x v="0"/>
    <x v="0"/>
    <s v="Prime Paper 559"/>
    <x v="2"/>
    <n v="3"/>
    <n v="4289.37"/>
    <n v="0.1"/>
    <n v="11778.71"/>
    <n v="6829.43"/>
    <n v="4751.87"/>
    <x v="0"/>
    <x v="2"/>
    <s v="June"/>
    <s v="OK"/>
    <s v="OK"/>
    <n v="0.1"/>
    <n v="2"/>
    <n v="4751.8690000000006"/>
    <n v="11581.299000000001"/>
    <n v="2"/>
    <s v="West"/>
    <s v="Clean"/>
    <s v="First Class"/>
  </r>
  <r>
    <m/>
    <x v="507"/>
    <m/>
    <m/>
    <m/>
    <x v="4"/>
    <x v="5"/>
    <x v="19"/>
    <m/>
    <x v="3"/>
    <x v="13"/>
    <m/>
    <x v="5"/>
    <m/>
    <m/>
    <m/>
    <m/>
    <m/>
    <m/>
    <x v="4"/>
    <x v="3"/>
    <s v="Invalid"/>
    <s v="OK"/>
    <n v="0"/>
    <n v="0"/>
    <n v="0"/>
    <n v="0"/>
    <n v="0"/>
    <s v="Unknown"/>
    <s v="Unknown"/>
    <s v="Clean"/>
    <m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  <r>
    <m/>
    <x v="507"/>
    <m/>
    <m/>
    <m/>
    <x v="4"/>
    <x v="5"/>
    <x v="19"/>
    <m/>
    <x v="3"/>
    <x v="13"/>
    <m/>
    <x v="5"/>
    <m/>
    <m/>
    <m/>
    <m/>
    <m/>
    <m/>
    <x v="4"/>
    <x v="3"/>
    <m/>
    <s v="Invalid"/>
    <s v="OK"/>
    <n v="0"/>
    <n v="0"/>
    <n v="0"/>
    <n v="0"/>
    <n v="0"/>
    <s v="Unknown"/>
    <s v="Clean"/>
    <s v="Unkn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80B7D-2713-4E63-8098-7BFE443C355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35">
    <pivotField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showAll="0"/>
    <pivotField axis="axisRow" showAll="0">
      <items count="7">
        <item x="4"/>
        <item x="1"/>
        <item x="0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9773A-0AE0-422F-B6CE-F313805A3CA5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2" firstHeaderRow="0" firstDataRow="1" firstDataCol="1"/>
  <pivotFields count="35">
    <pivotField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9"/>
    <field x="10"/>
  </rowFields>
  <rowItems count="19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>
      <x v="3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8FC1C-0027-4CA2-A217-969883D48A64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5">
    <pivotField dataField="1"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1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9D6F2-2ACA-403F-ABAB-A9FF058184D9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5">
    <pivotField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" fld="1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C0A50-3D22-4049-850B-14E265D4CA59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35">
    <pivotField dataField="1"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showAll="0"/>
    <pivotField axis="axisRow" showAll="0">
      <items count="7">
        <item x="4"/>
        <item x="1"/>
        <item x="0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B4749-747C-4C3B-A0EA-197ECFE8A504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35">
    <pivotField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F5068-2C17-4E40-A887-84F58C17D59A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5">
    <pivotField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DD28B-31DA-44DB-B31A-58DE05108A92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35">
    <pivotField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1">
        <item x="5"/>
        <item x="10"/>
        <item x="9"/>
        <item x="18"/>
        <item x="14"/>
        <item x="12"/>
        <item x="16"/>
        <item x="15"/>
        <item x="11"/>
        <item x="13"/>
        <item x="4"/>
        <item x="3"/>
        <item x="1"/>
        <item x="7"/>
        <item x="0"/>
        <item x="17"/>
        <item x="2"/>
        <item x="8"/>
        <item x="6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5EEA2-7B77-4760-BAD4-6DAB3FBA9B9D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5">
    <pivotField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11898-4462-44A8-947C-33953963FE99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5">
    <pivotField dataField="1" showAll="0"/>
    <pivotField showAll="0">
      <items count="509">
        <item x="469"/>
        <item x="479"/>
        <item x="338"/>
        <item x="243"/>
        <item x="80"/>
        <item x="374"/>
        <item x="55"/>
        <item x="78"/>
        <item x="497"/>
        <item x="498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393"/>
        <item x="473"/>
        <item x="157"/>
        <item x="195"/>
        <item x="207"/>
        <item x="248"/>
        <item x="190"/>
        <item x="421"/>
        <item x="198"/>
        <item x="104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181"/>
        <item x="342"/>
        <item x="129"/>
        <item x="470"/>
        <item x="485"/>
        <item x="77"/>
        <item x="185"/>
        <item x="71"/>
        <item x="460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425"/>
        <item x="368"/>
        <item x="23"/>
        <item x="324"/>
        <item x="205"/>
        <item x="488"/>
        <item x="229"/>
        <item x="400"/>
        <item x="438"/>
        <item x="413"/>
        <item x="115"/>
        <item x="252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501"/>
        <item x="148"/>
        <item x="236"/>
        <item x="88"/>
        <item x="192"/>
        <item x="83"/>
        <item x="330"/>
        <item x="8"/>
        <item x="271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151"/>
        <item x="373"/>
        <item x="242"/>
        <item x="46"/>
        <item x="168"/>
        <item x="291"/>
        <item x="124"/>
        <item x="86"/>
        <item x="288"/>
        <item x="403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17"/>
        <item x="54"/>
        <item x="238"/>
        <item x="245"/>
        <item x="344"/>
        <item x="475"/>
        <item x="372"/>
        <item x="434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81"/>
        <item x="16"/>
        <item x="2"/>
        <item x="40"/>
        <item x="417"/>
        <item x="450"/>
        <item x="505"/>
        <item x="4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28"/>
        <item x="140"/>
        <item x="65"/>
        <item x="326"/>
        <item x="345"/>
        <item x="15"/>
        <item x="137"/>
        <item x="304"/>
        <item x="163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103"/>
        <item x="315"/>
        <item x="322"/>
        <item x="406"/>
        <item x="392"/>
        <item x="108"/>
        <item x="175"/>
        <item x="75"/>
        <item x="37"/>
        <item x="24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68"/>
        <item x="471"/>
        <item x="240"/>
        <item x="357"/>
        <item x="446"/>
        <item x="36"/>
        <item x="343"/>
        <item x="221"/>
        <item x="363"/>
        <item x="436"/>
        <item x="30"/>
        <item x="25"/>
        <item x="441"/>
        <item x="483"/>
        <item x="3"/>
        <item x="110"/>
        <item x="200"/>
        <item x="133"/>
        <item x="38"/>
        <item x="260"/>
        <item x="300"/>
        <item x="109"/>
        <item x="452"/>
        <item x="264"/>
        <item x="212"/>
        <item x="388"/>
        <item x="253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95"/>
        <item x="313"/>
        <item x="158"/>
        <item x="208"/>
        <item x="444"/>
        <item x="91"/>
        <item x="186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437"/>
        <item x="120"/>
        <item x="389"/>
        <item x="94"/>
        <item x="465"/>
        <item x="335"/>
        <item x="117"/>
        <item x="189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409"/>
        <item x="64"/>
        <item x="487"/>
        <item x="222"/>
        <item x="398"/>
        <item x="230"/>
        <item x="307"/>
        <item x="267"/>
        <item x="336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182"/>
        <item x="214"/>
        <item x="284"/>
        <item x="431"/>
        <item x="196"/>
        <item x="353"/>
        <item x="390"/>
        <item x="191"/>
        <item x="125"/>
        <item x="401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53"/>
        <item x="442"/>
        <item x="484"/>
        <item x="347"/>
        <item x="375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86"/>
        <item x="490"/>
        <item x="496"/>
        <item x="210"/>
        <item x="160"/>
        <item x="295"/>
        <item x="202"/>
        <item x="220"/>
        <item x="495"/>
        <item x="455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52"/>
        <item x="203"/>
        <item x="365"/>
        <item x="320"/>
        <item x="276"/>
        <item x="272"/>
        <item x="380"/>
        <item x="354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302"/>
        <item x="147"/>
        <item x="493"/>
        <item x="503"/>
        <item x="72"/>
        <item x="89"/>
        <item x="266"/>
        <item x="286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8"/>
        <item x="127"/>
        <item x="296"/>
        <item x="424"/>
        <item x="87"/>
        <item x="293"/>
        <item x="9"/>
        <item x="215"/>
        <item x="142"/>
        <item x="480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371"/>
        <item x="225"/>
        <item x="504"/>
        <item x="6"/>
        <item x="447"/>
        <item x="351"/>
        <item x="138"/>
        <item x="418"/>
        <item x="39"/>
        <item x="454"/>
        <item x="420"/>
        <item x="405"/>
        <item x="395"/>
        <item x="317"/>
        <item x="47"/>
        <item x="478"/>
        <item x="428"/>
        <item x="440"/>
        <item x="385"/>
        <item x="323"/>
        <item x="285"/>
        <item x="318"/>
        <item x="259"/>
        <item x="329"/>
        <item x="93"/>
        <item x="325"/>
        <item x="92"/>
        <item x="13"/>
        <item x="5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4AA34-E255-4BCE-A12F-33F50C28DB8B}" name="Table1" displayName="Table1" ref="A1:AF933" totalsRowShown="0">
  <autoFilter ref="A1:AF933" xr:uid="{0964AA34-E255-4BCE-A12F-33F50C28DB8B}"/>
  <tableColumns count="32">
    <tableColumn id="1" xr3:uid="{25D04739-26A1-4E40-948E-F10684245CAF}" name="Order_Id"/>
    <tableColumn id="2" xr3:uid="{162AC396-E377-4E1A-8761-53E9728BCF6A}" name="Order_Date"/>
    <tableColumn id="3" xr3:uid="{1B30B68F-A76E-4CB7-B9D2-A49F6CAC2B9A}" name="Ship_Date"/>
    <tableColumn id="4" xr3:uid="{B6844108-0516-402A-B638-FADAFC6F6A99}" name="Customer_Id"/>
    <tableColumn id="5" xr3:uid="{803BB37B-9DEF-4336-B6F1-6F54BC9DE3AB}" name="Customer_Name"/>
    <tableColumn id="6" xr3:uid="{807F2841-0906-450D-A970-5A9DF89B18FF}" name="Segment"/>
    <tableColumn id="7" xr3:uid="{F921E8C7-613B-4DB0-86E5-DA1DE2D231E3}" name="Region"/>
    <tableColumn id="8" xr3:uid="{D18253CF-2596-4B90-9E71-7B6DFD204682}" name="State"/>
    <tableColumn id="9" xr3:uid="{8D0BD642-84EA-4FD7-AB64-E120539AD73A}" name="City"/>
    <tableColumn id="10" xr3:uid="{2B05F051-1FDA-4676-80CB-2DE883917FED}" name="Category"/>
    <tableColumn id="11" xr3:uid="{C0961AB4-A2FD-4F33-A1B9-652037B20B8B}" name="Sub_Category"/>
    <tableColumn id="12" xr3:uid="{E2BB59D0-3CFA-4CEC-BDBF-1909C18ADD25}" name="Product_Name"/>
    <tableColumn id="13" xr3:uid="{860D87EF-1404-4331-A4BF-8D5400492AD9}" name="Ship_Mode"/>
    <tableColumn id="14" xr3:uid="{0ABB99BA-2419-493C-954F-BFAB6C5DB124}" name="Quantity"/>
    <tableColumn id="15" xr3:uid="{BD58353D-AF99-4069-8F8F-2EAB6B2D4DD2}" name="Unit_Price"/>
    <tableColumn id="16" xr3:uid="{42FC33BC-7001-4A4A-A121-FD9B47C4F89F}" name="Discount"/>
    <tableColumn id="17" xr3:uid="{665C446F-FFB3-4115-8D08-1497FFEED9BB}" name="Sales"/>
    <tableColumn id="18" xr3:uid="{4A96B912-3831-4EE7-BF99-A5AC09D58F6F}" name="Cost"/>
    <tableColumn id="19" xr3:uid="{886EF089-4AF5-46C7-8AFF-689D2C4198C9}" name="Profit"/>
    <tableColumn id="20" xr3:uid="{3AB0B0B0-A69C-4BE5-A44B-B6E52A2832A5}" name="Payment_Status"/>
    <tableColumn id="21" xr3:uid="{6B3DA505-D780-498D-9894-46A4623D955E}" name="Order_Status"/>
    <tableColumn id="22" xr3:uid="{0965CDEC-7337-456B-A6F3-0B5C3AF22577}" name="Ship month"/>
    <tableColumn id="23" xr3:uid="{031FA147-560B-4E99-B52D-82FC5C8DEFFD}" name="OK/Invalid Status for Shipping Date" dataDxfId="2">
      <calculatedColumnFormula>IF(B2&lt;C2,"OK","Invalid")</calculatedColumnFormula>
    </tableColumn>
    <tableColumn id="24" xr3:uid="{B28B8AA2-A498-4BF7-8311-5B7BEF313280}" name="Discount Validation - Negative">
      <calculatedColumnFormula>IF(P2&lt;0,"Negative Discount","OK")</calculatedColumnFormula>
    </tableColumn>
    <tableColumn id="25" xr3:uid="{4A293CDF-06F7-48B6-940B-52F1FD09909C}" name="Discount Missing">
      <calculatedColumnFormula>IF(P2 ="",0,P2)</calculatedColumnFormula>
    </tableColumn>
    <tableColumn id="26" xr3:uid="{79F91FB3-99C5-48AC-95C7-72152A0FD196}" name="Duplicate Order_Id">
      <calculatedColumnFormula>COUNTIF(A:A,A2)</calculatedColumnFormula>
    </tableColumn>
    <tableColumn id="27" xr3:uid="{8F99D22D-157A-41C3-B6FB-D650F02E1C5C}" name="Calcualted Profit">
      <calculatedColumnFormula>AB2-R2</calculatedColumnFormula>
    </tableColumn>
    <tableColumn id="28" xr3:uid="{C85C0CD9-D1F4-49D3-84F1-9D854851D782}" name="calculated_sales">
      <calculatedColumnFormula>N2*O2*(1-Y2)</calculatedColumnFormula>
    </tableColumn>
    <tableColumn id="29" xr3:uid="{EACEC829-7FC7-4835-9B68-9B01246FE1E3}" name="Shippng Delay">
      <calculatedColumnFormula>C2-B2</calculatedColumnFormula>
    </tableColumn>
    <tableColumn id="30" xr3:uid="{9D89A738-8BF9-4E87-A1E0-5E046D2A1793}" name="Region Missing" dataDxfId="1">
      <calculatedColumnFormula>IF(G2="","Unknown",G2)</calculatedColumnFormula>
    </tableColumn>
    <tableColumn id="31" xr3:uid="{91AB6D67-6D65-4EDF-B1CA-E34F0C4F2510}" name="Data Quality Flag">
      <calculatedColumnFormula>IF(OR(P2&lt;0,P2&gt;1,C2&lt;B2),"ivalid",IF(OR(G2="Unknown",M2="Unknown"),"Warning","Clean"))</calculatedColumnFormula>
    </tableColumn>
    <tableColumn id="32" xr3:uid="{E463513A-D17D-483B-856D-B9F1A381B23C}" name="Ship Mode missing" dataDxfId="0">
      <calculatedColumnFormula>IF(M2="","Unknown",M2)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B5A1-9167-41BE-B3C3-D0608643B032}">
  <dimension ref="A1:U933"/>
  <sheetViews>
    <sheetView topLeftCell="F1" workbookViewId="0">
      <selection activeCell="L11" sqref="L11"/>
    </sheetView>
  </sheetViews>
  <sheetFormatPr defaultRowHeight="15"/>
  <cols>
    <col min="1" max="1" width="15.42578125" bestFit="1" customWidth="1"/>
    <col min="2" max="3" width="11.5703125" bestFit="1" customWidth="1"/>
    <col min="4" max="4" width="10.140625" bestFit="1" customWidth="1"/>
    <col min="5" max="5" width="14.5703125" bestFit="1" customWidth="1"/>
    <col min="6" max="6" width="15.7109375" bestFit="1" customWidth="1"/>
    <col min="7" max="7" width="7.5703125" bestFit="1" customWidth="1"/>
    <col min="8" max="8" width="15.7109375" bestFit="1" customWidth="1"/>
    <col min="9" max="9" width="13.140625" bestFit="1" customWidth="1"/>
    <col min="10" max="10" width="15.7109375" bestFit="1" customWidth="1"/>
    <col min="11" max="11" width="11.28515625" bestFit="1" customWidth="1"/>
    <col min="12" max="12" width="21.42578125" bestFit="1" customWidth="1"/>
    <col min="13" max="13" width="16.5703125" bestFit="1" customWidth="1"/>
    <col min="14" max="14" width="9" bestFit="1" customWidth="1"/>
    <col min="15" max="15" width="8.7109375" bestFit="1" customWidth="1"/>
    <col min="16" max="19" width="9" bestFit="1" customWidth="1"/>
    <col min="20" max="20" width="9.7109375" bestFit="1" customWidth="1"/>
    <col min="21" max="21" width="11.5703125" bestFit="1" customWidth="1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autoFilter ref="A1:U933" xr:uid="{4F8DB5A1-9167-41BE-B3C3-D0608643B0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3CF7-DEAD-41E8-B0C1-046BB8500E27}">
  <dimension ref="A1:AF933"/>
  <sheetViews>
    <sheetView tabSelected="1" topLeftCell="T1" workbookViewId="0">
      <selection activeCell="AF2" sqref="AF2"/>
    </sheetView>
  </sheetViews>
  <sheetFormatPr defaultRowHeight="15"/>
  <cols>
    <col min="1" max="1" width="15.42578125" bestFit="1" customWidth="1"/>
    <col min="2" max="9" width="12" customWidth="1"/>
    <col min="10" max="22" width="13.140625" customWidth="1"/>
    <col min="23" max="23" width="17" bestFit="1" customWidth="1"/>
    <col min="24" max="31" width="13.140625" customWidth="1"/>
    <col min="32" max="32" width="13.85546875" bestFit="1" customWidth="1"/>
  </cols>
  <sheetData>
    <row r="1" spans="1:32" ht="45">
      <c r="A1" s="1" t="s">
        <v>4088</v>
      </c>
      <c r="B1" s="2" t="s">
        <v>4089</v>
      </c>
      <c r="C1" s="2" t="s">
        <v>4090</v>
      </c>
      <c r="D1" s="1" t="s">
        <v>4091</v>
      </c>
      <c r="E1" s="1" t="s">
        <v>4092</v>
      </c>
      <c r="F1" s="1" t="s">
        <v>4093</v>
      </c>
      <c r="G1" s="1" t="s">
        <v>4094</v>
      </c>
      <c r="H1" s="1" t="s">
        <v>4095</v>
      </c>
      <c r="I1" s="1" t="s">
        <v>4096</v>
      </c>
      <c r="J1" s="1" t="s">
        <v>4097</v>
      </c>
      <c r="K1" s="1" t="s">
        <v>4098</v>
      </c>
      <c r="L1" s="1" t="s">
        <v>4099</v>
      </c>
      <c r="M1" s="1" t="s">
        <v>4100</v>
      </c>
      <c r="N1" s="3" t="s">
        <v>4101</v>
      </c>
      <c r="O1" s="3" t="s">
        <v>4102</v>
      </c>
      <c r="P1" s="1" t="s">
        <v>4103</v>
      </c>
      <c r="Q1" s="3" t="s">
        <v>4104</v>
      </c>
      <c r="R1" s="3" t="s">
        <v>4105</v>
      </c>
      <c r="S1" s="3" t="s">
        <v>4106</v>
      </c>
      <c r="T1" s="1" t="s">
        <v>4107</v>
      </c>
      <c r="U1" s="1" t="s">
        <v>4108</v>
      </c>
      <c r="V1" s="3" t="s">
        <v>4109</v>
      </c>
      <c r="W1" s="1" t="s">
        <v>4110</v>
      </c>
      <c r="X1" s="1" t="s">
        <v>4111</v>
      </c>
      <c r="Y1" s="1" t="s">
        <v>4112</v>
      </c>
      <c r="Z1" s="1" t="s">
        <v>4113</v>
      </c>
      <c r="AA1" s="1" t="s">
        <v>5874</v>
      </c>
      <c r="AB1" s="1" t="s">
        <v>5873</v>
      </c>
      <c r="AC1" s="1" t="s">
        <v>4114</v>
      </c>
      <c r="AD1" s="1" t="s">
        <v>4115</v>
      </c>
      <c r="AE1" s="1" t="s">
        <v>5896</v>
      </c>
      <c r="AF1" s="1" t="s">
        <v>4116</v>
      </c>
    </row>
    <row r="2" spans="1:32">
      <c r="A2" t="s">
        <v>4117</v>
      </c>
      <c r="B2" s="4">
        <v>45494</v>
      </c>
      <c r="C2" s="4">
        <v>45500</v>
      </c>
      <c r="D2" t="s">
        <v>4118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  <c r="V2" t="str">
        <f>TEXT(C2,"MMMM")</f>
        <v>July</v>
      </c>
      <c r="W2" t="str">
        <f>IF(B2&lt;C2,"OK","Invalid")</f>
        <v>OK</v>
      </c>
      <c r="X2" t="str">
        <f>IF(P2&lt;0,"Negative Discount","OK")</f>
        <v>OK</v>
      </c>
      <c r="Y2">
        <f t="shared" ref="Y2:Y65" si="0">IF(P2 ="",0,P2)</f>
        <v>0.2</v>
      </c>
      <c r="Z2">
        <f t="shared" ref="Z2:Z65" si="1">COUNTIF(A:A,A2)</f>
        <v>1</v>
      </c>
      <c r="AA2">
        <f>AB2-R2</f>
        <v>3207.3899999999994</v>
      </c>
      <c r="AB2">
        <f>N2*O2*(1-Y2)</f>
        <v>19049.28</v>
      </c>
      <c r="AC2">
        <f>C2-B2</f>
        <v>6</v>
      </c>
      <c r="AD2" t="str">
        <f t="shared" ref="AD2:AD65" si="2">IF(G2="","Unknown",G2)</f>
        <v>North</v>
      </c>
      <c r="AE2" t="str">
        <f>IF(OR(P2&lt;0,P2&gt;1,C2&lt;B2),"Invalid",IF(OR(G2="Unknown",M2="Unknown"),"Warning","Clean"))</f>
        <v>Clean</v>
      </c>
      <c r="AF2" t="str">
        <f t="shared" ref="AF2:AF65" si="3">IF(M2="","Unknown",M2)</f>
        <v>Second Class</v>
      </c>
    </row>
    <row r="3" spans="1:32">
      <c r="A3" t="s">
        <v>4119</v>
      </c>
      <c r="B3" s="4">
        <v>45535</v>
      </c>
      <c r="C3" s="4">
        <v>45540</v>
      </c>
      <c r="D3" t="s">
        <v>4120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  <c r="V3" t="str">
        <f t="shared" ref="V3:V66" si="4">TEXT(C3,"MMMM")</f>
        <v>September</v>
      </c>
      <c r="W3" t="str">
        <f t="shared" ref="W3:W66" si="5">IF(B3&lt;C3,"OK","Invalid")</f>
        <v>OK</v>
      </c>
      <c r="X3" t="str">
        <f t="shared" ref="X3:X66" si="6">IF(P3&lt;0,"Negative Discount","OK")</f>
        <v>OK</v>
      </c>
      <c r="Y3">
        <f t="shared" si="0"/>
        <v>0</v>
      </c>
      <c r="Z3">
        <f t="shared" si="1"/>
        <v>1</v>
      </c>
      <c r="AA3">
        <f t="shared" ref="AA3:AA66" si="7">AB3-R3</f>
        <v>2407.7700000000004</v>
      </c>
      <c r="AB3">
        <f t="shared" ref="AB3:AB66" si="8">N3*O3*(1-Y3)</f>
        <v>7312.5</v>
      </c>
      <c r="AC3">
        <f t="shared" ref="AC3:AC66" si="9">C3-B3</f>
        <v>5</v>
      </c>
      <c r="AD3" t="str">
        <f t="shared" si="2"/>
        <v>East</v>
      </c>
      <c r="AE3" t="str">
        <f t="shared" ref="AE3:AE66" si="10">IF(OR(P3&lt;0,P3&gt;1,C3&lt;B3),"Invalid",IF(OR(G3="Unknown",M3="Unknown"),"Warning","Clean"))</f>
        <v>Clean</v>
      </c>
      <c r="AF3" t="str">
        <f t="shared" si="3"/>
        <v>Same Day</v>
      </c>
    </row>
    <row r="4" spans="1:32">
      <c r="A4" t="s">
        <v>4121</v>
      </c>
      <c r="B4" s="4">
        <v>45510</v>
      </c>
      <c r="C4" s="4">
        <v>45458</v>
      </c>
      <c r="D4" t="s">
        <v>4122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  <c r="V4" t="str">
        <f t="shared" si="4"/>
        <v>June</v>
      </c>
      <c r="W4" s="5" t="str">
        <f t="shared" si="5"/>
        <v>Invalid</v>
      </c>
      <c r="X4" t="str">
        <f t="shared" si="6"/>
        <v>OK</v>
      </c>
      <c r="Y4">
        <f t="shared" si="0"/>
        <v>0.55000000000000004</v>
      </c>
      <c r="Z4">
        <f t="shared" si="1"/>
        <v>1</v>
      </c>
      <c r="AA4">
        <f t="shared" si="7"/>
        <v>-547.91600000000017</v>
      </c>
      <c r="AB4">
        <f t="shared" si="8"/>
        <v>1917.7739999999999</v>
      </c>
      <c r="AC4" s="5">
        <f t="shared" si="9"/>
        <v>-52</v>
      </c>
      <c r="AD4" t="str">
        <f t="shared" si="2"/>
        <v>East</v>
      </c>
      <c r="AE4" t="str">
        <f t="shared" si="10"/>
        <v>Invalid</v>
      </c>
      <c r="AF4" t="str">
        <f t="shared" si="3"/>
        <v>First Class</v>
      </c>
    </row>
    <row r="5" spans="1:32">
      <c r="A5" t="s">
        <v>4123</v>
      </c>
      <c r="B5" s="4">
        <v>45624</v>
      </c>
      <c r="C5" s="4">
        <v>45625</v>
      </c>
      <c r="D5" t="s">
        <v>4124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  <c r="V5" t="str">
        <f t="shared" si="4"/>
        <v>November</v>
      </c>
      <c r="W5" t="str">
        <f t="shared" si="5"/>
        <v>OK</v>
      </c>
      <c r="X5" t="str">
        <f t="shared" si="6"/>
        <v>OK</v>
      </c>
      <c r="Y5">
        <f t="shared" si="0"/>
        <v>0.25</v>
      </c>
      <c r="Z5">
        <f t="shared" si="1"/>
        <v>1</v>
      </c>
      <c r="AA5">
        <f t="shared" si="7"/>
        <v>1521.1649999999991</v>
      </c>
      <c r="AB5">
        <f t="shared" si="8"/>
        <v>8317.9349999999995</v>
      </c>
      <c r="AC5">
        <f t="shared" si="9"/>
        <v>1</v>
      </c>
      <c r="AD5" t="str">
        <f t="shared" si="2"/>
        <v>South</v>
      </c>
      <c r="AE5" t="str">
        <f t="shared" si="10"/>
        <v>Clean</v>
      </c>
      <c r="AF5" t="str">
        <f t="shared" si="3"/>
        <v>Standard Class</v>
      </c>
    </row>
    <row r="6" spans="1:32">
      <c r="A6" t="s">
        <v>4125</v>
      </c>
      <c r="B6" s="4">
        <v>45898</v>
      </c>
      <c r="C6" s="4">
        <v>45901</v>
      </c>
      <c r="D6" t="s">
        <v>4126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  <c r="V6" t="str">
        <f t="shared" si="4"/>
        <v>September</v>
      </c>
      <c r="W6" t="str">
        <f t="shared" si="5"/>
        <v>OK</v>
      </c>
      <c r="X6" t="str">
        <f t="shared" si="6"/>
        <v>OK</v>
      </c>
      <c r="Y6">
        <f t="shared" si="0"/>
        <v>0</v>
      </c>
      <c r="Z6">
        <f t="shared" si="1"/>
        <v>1</v>
      </c>
      <c r="AA6">
        <f t="shared" si="7"/>
        <v>3110.9500000000007</v>
      </c>
      <c r="AB6">
        <f t="shared" si="8"/>
        <v>20816.32</v>
      </c>
      <c r="AC6">
        <f t="shared" si="9"/>
        <v>3</v>
      </c>
      <c r="AD6" t="str">
        <f t="shared" si="2"/>
        <v>West</v>
      </c>
      <c r="AE6" t="str">
        <f t="shared" si="10"/>
        <v>Clean</v>
      </c>
      <c r="AF6" t="str">
        <f t="shared" si="3"/>
        <v>First Class</v>
      </c>
    </row>
    <row r="7" spans="1:32">
      <c r="A7" t="s">
        <v>4127</v>
      </c>
      <c r="B7" s="4">
        <v>45436</v>
      </c>
      <c r="C7" s="4">
        <v>45440</v>
      </c>
      <c r="D7" t="s">
        <v>4128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  <c r="V7" t="str">
        <f t="shared" si="4"/>
        <v>May</v>
      </c>
      <c r="W7" t="str">
        <f t="shared" si="5"/>
        <v>OK</v>
      </c>
      <c r="X7" t="str">
        <f t="shared" si="6"/>
        <v>OK</v>
      </c>
      <c r="Y7">
        <f t="shared" si="0"/>
        <v>0.2</v>
      </c>
      <c r="Z7">
        <f t="shared" si="1"/>
        <v>1</v>
      </c>
      <c r="AA7">
        <f t="shared" si="7"/>
        <v>993.88400000000001</v>
      </c>
      <c r="AB7">
        <f t="shared" si="8"/>
        <v>2527.4639999999999</v>
      </c>
      <c r="AC7">
        <f t="shared" si="9"/>
        <v>4</v>
      </c>
      <c r="AD7" t="str">
        <f t="shared" si="2"/>
        <v>West</v>
      </c>
      <c r="AE7" t="str">
        <f t="shared" si="10"/>
        <v>Clean</v>
      </c>
      <c r="AF7" t="str">
        <f t="shared" si="3"/>
        <v>Same Day</v>
      </c>
    </row>
    <row r="8" spans="1:32">
      <c r="A8" t="s">
        <v>4129</v>
      </c>
      <c r="B8" s="4">
        <v>45934</v>
      </c>
      <c r="C8" s="4">
        <v>45763</v>
      </c>
      <c r="D8" t="s">
        <v>4130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  <c r="V8" t="str">
        <f t="shared" si="4"/>
        <v>April</v>
      </c>
      <c r="W8" s="5" t="str">
        <f t="shared" si="5"/>
        <v>Invalid</v>
      </c>
      <c r="X8" t="str">
        <f t="shared" si="6"/>
        <v>OK</v>
      </c>
      <c r="Y8">
        <f t="shared" si="0"/>
        <v>0.15</v>
      </c>
      <c r="Z8">
        <f t="shared" si="1"/>
        <v>1</v>
      </c>
      <c r="AA8">
        <f t="shared" si="7"/>
        <v>1120.3079999999991</v>
      </c>
      <c r="AB8">
        <f t="shared" si="8"/>
        <v>5847.5579999999991</v>
      </c>
      <c r="AC8" s="5">
        <f t="shared" si="9"/>
        <v>-171</v>
      </c>
      <c r="AD8" t="str">
        <f t="shared" si="2"/>
        <v>East</v>
      </c>
      <c r="AE8" t="str">
        <f t="shared" si="10"/>
        <v>Invalid</v>
      </c>
      <c r="AF8" t="str">
        <f t="shared" si="3"/>
        <v>Standard Class</v>
      </c>
    </row>
    <row r="9" spans="1:32">
      <c r="A9" t="s">
        <v>4131</v>
      </c>
      <c r="B9" s="4">
        <v>45711</v>
      </c>
      <c r="C9" s="4">
        <v>45714</v>
      </c>
      <c r="D9" t="s">
        <v>4132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  <c r="V9" t="str">
        <f t="shared" si="4"/>
        <v>February</v>
      </c>
      <c r="W9" t="str">
        <f t="shared" si="5"/>
        <v>OK</v>
      </c>
      <c r="X9" t="str">
        <f t="shared" si="6"/>
        <v>OK</v>
      </c>
      <c r="Y9">
        <f t="shared" si="0"/>
        <v>0</v>
      </c>
      <c r="Z9">
        <f t="shared" si="1"/>
        <v>1</v>
      </c>
      <c r="AA9">
        <f t="shared" si="7"/>
        <v>623.49000000000024</v>
      </c>
      <c r="AB9">
        <f t="shared" si="8"/>
        <v>2980.71</v>
      </c>
      <c r="AC9">
        <f t="shared" si="9"/>
        <v>3</v>
      </c>
      <c r="AD9" t="str">
        <f t="shared" si="2"/>
        <v>South</v>
      </c>
      <c r="AE9" t="str">
        <f t="shared" si="10"/>
        <v>Clean</v>
      </c>
      <c r="AF9" t="str">
        <f t="shared" si="3"/>
        <v>First Class</v>
      </c>
    </row>
    <row r="10" spans="1:32">
      <c r="A10" t="s">
        <v>4133</v>
      </c>
      <c r="B10" s="4">
        <v>45423</v>
      </c>
      <c r="C10" s="4">
        <v>45576</v>
      </c>
      <c r="D10" t="s">
        <v>4134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  <c r="V10" t="str">
        <f t="shared" si="4"/>
        <v>October</v>
      </c>
      <c r="W10" t="str">
        <f t="shared" si="5"/>
        <v>OK</v>
      </c>
      <c r="X10" t="str">
        <f t="shared" si="6"/>
        <v>OK</v>
      </c>
      <c r="Y10">
        <f t="shared" si="0"/>
        <v>0</v>
      </c>
      <c r="Z10">
        <f t="shared" si="1"/>
        <v>1</v>
      </c>
      <c r="AA10">
        <f t="shared" si="7"/>
        <v>7726.369999999999</v>
      </c>
      <c r="AB10">
        <f t="shared" si="8"/>
        <v>25073.599999999999</v>
      </c>
      <c r="AC10">
        <f t="shared" si="9"/>
        <v>153</v>
      </c>
      <c r="AD10" t="str">
        <f t="shared" si="2"/>
        <v>South</v>
      </c>
      <c r="AE10" t="str">
        <f t="shared" si="10"/>
        <v>Clean</v>
      </c>
      <c r="AF10" t="str">
        <f t="shared" si="3"/>
        <v>First Class</v>
      </c>
    </row>
    <row r="11" spans="1:32">
      <c r="A11" t="s">
        <v>4135</v>
      </c>
      <c r="B11" s="4">
        <v>45907</v>
      </c>
      <c r="C11" s="4">
        <v>46000</v>
      </c>
      <c r="D11" t="s">
        <v>4136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  <c r="V11" t="str">
        <f t="shared" si="4"/>
        <v>December</v>
      </c>
      <c r="W11" t="str">
        <f t="shared" si="5"/>
        <v>OK</v>
      </c>
      <c r="X11" t="str">
        <f t="shared" si="6"/>
        <v>OK</v>
      </c>
      <c r="Y11">
        <f t="shared" si="0"/>
        <v>0.2</v>
      </c>
      <c r="Z11">
        <f t="shared" si="1"/>
        <v>1</v>
      </c>
      <c r="AA11">
        <f t="shared" si="7"/>
        <v>2334.498</v>
      </c>
      <c r="AB11">
        <f t="shared" si="8"/>
        <v>6134.6880000000001</v>
      </c>
      <c r="AC11">
        <f t="shared" si="9"/>
        <v>93</v>
      </c>
      <c r="AD11" t="str">
        <f t="shared" si="2"/>
        <v>South</v>
      </c>
      <c r="AE11" t="str">
        <f t="shared" si="10"/>
        <v>Clean</v>
      </c>
      <c r="AF11" t="str">
        <f t="shared" si="3"/>
        <v>Second Class</v>
      </c>
    </row>
    <row r="12" spans="1:32">
      <c r="A12" t="s">
        <v>4137</v>
      </c>
      <c r="B12" s="4">
        <v>45797</v>
      </c>
      <c r="C12" s="4">
        <v>45797</v>
      </c>
      <c r="D12" t="s">
        <v>4138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  <c r="V12" t="str">
        <f t="shared" si="4"/>
        <v>May</v>
      </c>
      <c r="W12" s="5" t="str">
        <f t="shared" si="5"/>
        <v>Invalid</v>
      </c>
      <c r="X12" t="str">
        <f t="shared" si="6"/>
        <v>OK</v>
      </c>
      <c r="Y12">
        <f t="shared" si="0"/>
        <v>0.05</v>
      </c>
      <c r="Z12">
        <f t="shared" si="1"/>
        <v>1</v>
      </c>
      <c r="AA12">
        <f t="shared" si="7"/>
        <v>4025.9954999999991</v>
      </c>
      <c r="AB12">
        <f t="shared" si="8"/>
        <v>10074.2655</v>
      </c>
      <c r="AC12">
        <f t="shared" si="9"/>
        <v>0</v>
      </c>
      <c r="AD12" t="str">
        <f t="shared" si="2"/>
        <v>East</v>
      </c>
      <c r="AE12" t="str">
        <f t="shared" si="10"/>
        <v>Clean</v>
      </c>
      <c r="AF12" t="str">
        <f t="shared" si="3"/>
        <v>Second Class</v>
      </c>
    </row>
    <row r="13" spans="1:32">
      <c r="A13" t="s">
        <v>4139</v>
      </c>
      <c r="B13" s="4">
        <v>45495</v>
      </c>
      <c r="C13" s="4">
        <v>45496</v>
      </c>
      <c r="D13" t="s">
        <v>4140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  <c r="V13" t="str">
        <f t="shared" si="4"/>
        <v>July</v>
      </c>
      <c r="W13" t="str">
        <f t="shared" si="5"/>
        <v>OK</v>
      </c>
      <c r="X13" t="str">
        <f t="shared" si="6"/>
        <v>OK</v>
      </c>
      <c r="Y13">
        <f t="shared" si="0"/>
        <v>0.2</v>
      </c>
      <c r="Z13">
        <f t="shared" si="1"/>
        <v>1</v>
      </c>
      <c r="AA13">
        <f t="shared" si="7"/>
        <v>1589.9700000000012</v>
      </c>
      <c r="AB13">
        <f t="shared" si="8"/>
        <v>9628.5600000000013</v>
      </c>
      <c r="AC13">
        <f t="shared" si="9"/>
        <v>1</v>
      </c>
      <c r="AD13" t="str">
        <f t="shared" si="2"/>
        <v>East</v>
      </c>
      <c r="AE13" t="str">
        <f t="shared" si="10"/>
        <v>Clean</v>
      </c>
      <c r="AF13" t="str">
        <f t="shared" si="3"/>
        <v>Same Day</v>
      </c>
    </row>
    <row r="14" spans="1:32">
      <c r="A14" t="s">
        <v>4141</v>
      </c>
      <c r="B14" s="4">
        <v>45646</v>
      </c>
      <c r="C14" s="4">
        <v>45647</v>
      </c>
      <c r="D14" t="s">
        <v>4142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  <c r="V14" t="str">
        <f t="shared" si="4"/>
        <v>December</v>
      </c>
      <c r="W14" t="str">
        <f t="shared" si="5"/>
        <v>OK</v>
      </c>
      <c r="X14" t="str">
        <f t="shared" si="6"/>
        <v>OK</v>
      </c>
      <c r="Y14">
        <f t="shared" si="0"/>
        <v>0.15</v>
      </c>
      <c r="Z14">
        <f t="shared" si="1"/>
        <v>1</v>
      </c>
      <c r="AA14">
        <f t="shared" si="7"/>
        <v>216.56899999999996</v>
      </c>
      <c r="AB14">
        <f t="shared" si="8"/>
        <v>596.81899999999996</v>
      </c>
      <c r="AC14">
        <f t="shared" si="9"/>
        <v>1</v>
      </c>
      <c r="AD14" t="str">
        <f t="shared" si="2"/>
        <v>West</v>
      </c>
      <c r="AE14" t="str">
        <f t="shared" si="10"/>
        <v>Clean</v>
      </c>
      <c r="AF14" t="str">
        <f t="shared" si="3"/>
        <v>First Class</v>
      </c>
    </row>
    <row r="15" spans="1:32">
      <c r="A15" t="s">
        <v>4143</v>
      </c>
      <c r="B15" s="4">
        <v>46001</v>
      </c>
      <c r="C15" s="4">
        <v>45946</v>
      </c>
      <c r="D15" t="s">
        <v>4144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  <c r="V15" t="str">
        <f t="shared" si="4"/>
        <v>October</v>
      </c>
      <c r="W15" s="5" t="str">
        <f t="shared" si="5"/>
        <v>Invalid</v>
      </c>
      <c r="X15" t="str">
        <f t="shared" si="6"/>
        <v>OK</v>
      </c>
      <c r="Y15">
        <f t="shared" si="0"/>
        <v>0.05</v>
      </c>
      <c r="Z15">
        <f t="shared" si="1"/>
        <v>1</v>
      </c>
      <c r="AA15">
        <f t="shared" si="7"/>
        <v>4059.1479999999938</v>
      </c>
      <c r="AB15">
        <f t="shared" si="8"/>
        <v>26365.387999999995</v>
      </c>
      <c r="AC15" s="5">
        <f t="shared" si="9"/>
        <v>-55</v>
      </c>
      <c r="AD15" t="str">
        <f t="shared" si="2"/>
        <v>West</v>
      </c>
      <c r="AE15" t="str">
        <f t="shared" si="10"/>
        <v>Invalid</v>
      </c>
      <c r="AF15" t="str">
        <f t="shared" si="3"/>
        <v>Second Class</v>
      </c>
    </row>
    <row r="16" spans="1:32">
      <c r="A16" t="s">
        <v>4145</v>
      </c>
      <c r="B16" s="4">
        <v>45653</v>
      </c>
      <c r="C16" s="4">
        <v>45654</v>
      </c>
      <c r="D16" t="s">
        <v>4146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  <c r="V16" t="str">
        <f t="shared" si="4"/>
        <v>December</v>
      </c>
      <c r="W16" t="str">
        <f t="shared" si="5"/>
        <v>OK</v>
      </c>
      <c r="X16" t="str">
        <f t="shared" si="6"/>
        <v>OK</v>
      </c>
      <c r="Y16">
        <f t="shared" si="0"/>
        <v>0.25</v>
      </c>
      <c r="Z16">
        <f t="shared" si="1"/>
        <v>1</v>
      </c>
      <c r="AA16">
        <f t="shared" si="7"/>
        <v>1440.4449999999997</v>
      </c>
      <c r="AB16">
        <f t="shared" si="8"/>
        <v>4106.7449999999999</v>
      </c>
      <c r="AC16">
        <f t="shared" si="9"/>
        <v>1</v>
      </c>
      <c r="AD16" t="str">
        <f t="shared" si="2"/>
        <v>West</v>
      </c>
      <c r="AE16" t="str">
        <f t="shared" si="10"/>
        <v>Clean</v>
      </c>
      <c r="AF16" t="str">
        <f t="shared" si="3"/>
        <v>Standard Class</v>
      </c>
    </row>
    <row r="17" spans="1:32">
      <c r="A17" t="s">
        <v>4147</v>
      </c>
      <c r="B17" s="4">
        <v>45542</v>
      </c>
      <c r="C17" s="4">
        <v>45482</v>
      </c>
      <c r="D17" t="s">
        <v>4148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  <c r="V17" t="str">
        <f t="shared" si="4"/>
        <v>July</v>
      </c>
      <c r="W17" s="5" t="str">
        <f t="shared" si="5"/>
        <v>Invalid</v>
      </c>
      <c r="X17" t="str">
        <f t="shared" si="6"/>
        <v>OK</v>
      </c>
      <c r="Y17">
        <f t="shared" si="0"/>
        <v>0</v>
      </c>
      <c r="Z17">
        <f t="shared" si="1"/>
        <v>1</v>
      </c>
      <c r="AA17">
        <f t="shared" si="7"/>
        <v>8096.090000000002</v>
      </c>
      <c r="AB17">
        <f t="shared" si="8"/>
        <v>23794.560000000001</v>
      </c>
      <c r="AC17" s="5">
        <f t="shared" si="9"/>
        <v>-60</v>
      </c>
      <c r="AD17" t="str">
        <f t="shared" si="2"/>
        <v>North</v>
      </c>
      <c r="AE17" t="str">
        <f t="shared" si="10"/>
        <v>Invalid</v>
      </c>
      <c r="AF17" t="str">
        <f t="shared" si="3"/>
        <v>Second Class</v>
      </c>
    </row>
    <row r="18" spans="1:32">
      <c r="A18" t="s">
        <v>4149</v>
      </c>
      <c r="B18" s="4">
        <v>45509</v>
      </c>
      <c r="C18" s="4">
        <v>45427</v>
      </c>
      <c r="D18" t="s">
        <v>4150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  <c r="V18" t="str">
        <f t="shared" si="4"/>
        <v>May</v>
      </c>
      <c r="W18" s="5" t="str">
        <f t="shared" si="5"/>
        <v>Invalid</v>
      </c>
      <c r="X18" t="str">
        <f t="shared" si="6"/>
        <v>OK</v>
      </c>
      <c r="Y18">
        <f t="shared" si="0"/>
        <v>0.25</v>
      </c>
      <c r="Z18">
        <f t="shared" si="1"/>
        <v>1</v>
      </c>
      <c r="AA18">
        <f t="shared" si="7"/>
        <v>4302.3600000000006</v>
      </c>
      <c r="AB18">
        <f t="shared" si="8"/>
        <v>9970.5300000000007</v>
      </c>
      <c r="AC18" s="5">
        <f t="shared" si="9"/>
        <v>-82</v>
      </c>
      <c r="AD18" t="str">
        <f t="shared" si="2"/>
        <v>South</v>
      </c>
      <c r="AE18" t="str">
        <f t="shared" si="10"/>
        <v>Invalid</v>
      </c>
      <c r="AF18" t="str">
        <f t="shared" si="3"/>
        <v>First Class</v>
      </c>
    </row>
    <row r="19" spans="1:32">
      <c r="A19" t="s">
        <v>4151</v>
      </c>
      <c r="B19" s="4">
        <v>45474</v>
      </c>
      <c r="C19" s="4">
        <v>45299</v>
      </c>
      <c r="D19" t="s">
        <v>4152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  <c r="V19" t="str">
        <f t="shared" si="4"/>
        <v>January</v>
      </c>
      <c r="W19" s="5" t="str">
        <f t="shared" si="5"/>
        <v>Invalid</v>
      </c>
      <c r="X19" t="str">
        <f t="shared" si="6"/>
        <v>OK</v>
      </c>
      <c r="Y19">
        <f t="shared" si="0"/>
        <v>0</v>
      </c>
      <c r="Z19">
        <f t="shared" si="1"/>
        <v>1</v>
      </c>
      <c r="AA19">
        <f t="shared" si="7"/>
        <v>2926.99</v>
      </c>
      <c r="AB19">
        <f t="shared" si="8"/>
        <v>7633.9</v>
      </c>
      <c r="AC19" s="5">
        <f t="shared" si="9"/>
        <v>-175</v>
      </c>
      <c r="AD19" t="str">
        <f t="shared" si="2"/>
        <v>North</v>
      </c>
      <c r="AE19" t="str">
        <f t="shared" si="10"/>
        <v>Invalid</v>
      </c>
      <c r="AF19" t="str">
        <f t="shared" si="3"/>
        <v>Same Day</v>
      </c>
    </row>
    <row r="20" spans="1:32">
      <c r="A20" t="s">
        <v>4153</v>
      </c>
      <c r="B20" s="4">
        <v>45853</v>
      </c>
      <c r="C20" s="4">
        <v>45855</v>
      </c>
      <c r="D20" t="s">
        <v>4154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  <c r="V20" t="str">
        <f t="shared" si="4"/>
        <v>July</v>
      </c>
      <c r="W20" t="str">
        <f t="shared" si="5"/>
        <v>OK</v>
      </c>
      <c r="X20" t="str">
        <f t="shared" si="6"/>
        <v>OK</v>
      </c>
      <c r="Y20">
        <f t="shared" si="0"/>
        <v>0</v>
      </c>
      <c r="Z20">
        <f t="shared" si="1"/>
        <v>1</v>
      </c>
      <c r="AA20">
        <f t="shared" si="7"/>
        <v>1362.7800000000002</v>
      </c>
      <c r="AB20">
        <f t="shared" si="8"/>
        <v>3995.98</v>
      </c>
      <c r="AC20">
        <f t="shared" si="9"/>
        <v>2</v>
      </c>
      <c r="AD20" t="str">
        <f t="shared" si="2"/>
        <v>North</v>
      </c>
      <c r="AE20" t="str">
        <f t="shared" si="10"/>
        <v>Clean</v>
      </c>
      <c r="AF20" t="str">
        <f t="shared" si="3"/>
        <v>First Class</v>
      </c>
    </row>
    <row r="21" spans="1:32">
      <c r="A21" t="s">
        <v>4155</v>
      </c>
      <c r="B21" s="4">
        <v>45500</v>
      </c>
      <c r="C21" s="4">
        <v>45504</v>
      </c>
      <c r="D21" t="s">
        <v>4156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  <c r="V21" t="str">
        <f t="shared" si="4"/>
        <v>July</v>
      </c>
      <c r="W21" t="str">
        <f t="shared" si="5"/>
        <v>OK</v>
      </c>
      <c r="X21" s="5" t="str">
        <f>IF(P21&lt;0,"Negative Discount","OK")</f>
        <v>Negative Discount</v>
      </c>
      <c r="Y21">
        <f t="shared" si="0"/>
        <v>-0.19</v>
      </c>
      <c r="Z21">
        <f t="shared" si="1"/>
        <v>1</v>
      </c>
      <c r="AA21">
        <f t="shared" si="7"/>
        <v>6350.6357999999991</v>
      </c>
      <c r="AB21">
        <f t="shared" si="8"/>
        <v>13879.9458</v>
      </c>
      <c r="AC21">
        <f t="shared" si="9"/>
        <v>4</v>
      </c>
      <c r="AD21" t="str">
        <f t="shared" si="2"/>
        <v>West</v>
      </c>
      <c r="AE21" t="str">
        <f t="shared" si="10"/>
        <v>Invalid</v>
      </c>
      <c r="AF21" t="str">
        <f t="shared" si="3"/>
        <v>Second Class</v>
      </c>
    </row>
    <row r="22" spans="1:32">
      <c r="A22" t="s">
        <v>4157</v>
      </c>
      <c r="B22" s="4">
        <v>45678</v>
      </c>
      <c r="C22" s="4">
        <v>45680</v>
      </c>
      <c r="D22" t="s">
        <v>4158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  <c r="V22" t="str">
        <f t="shared" si="4"/>
        <v>January</v>
      </c>
      <c r="W22" t="str">
        <f t="shared" si="5"/>
        <v>OK</v>
      </c>
      <c r="X22" t="str">
        <f t="shared" si="6"/>
        <v>OK</v>
      </c>
      <c r="Y22">
        <f t="shared" si="0"/>
        <v>0.25</v>
      </c>
      <c r="Z22">
        <f t="shared" si="1"/>
        <v>1</v>
      </c>
      <c r="AA22">
        <f t="shared" si="7"/>
        <v>6842.4550000000017</v>
      </c>
      <c r="AB22">
        <f t="shared" si="8"/>
        <v>16398.975000000002</v>
      </c>
      <c r="AC22">
        <f t="shared" si="9"/>
        <v>2</v>
      </c>
      <c r="AD22" t="str">
        <f t="shared" si="2"/>
        <v>East</v>
      </c>
      <c r="AE22" t="str">
        <f t="shared" si="10"/>
        <v>Clean</v>
      </c>
      <c r="AF22" t="str">
        <f t="shared" si="3"/>
        <v>First Class</v>
      </c>
    </row>
    <row r="23" spans="1:32">
      <c r="A23" t="s">
        <v>4159</v>
      </c>
      <c r="B23" s="4">
        <v>45681</v>
      </c>
      <c r="C23" s="4">
        <v>45687</v>
      </c>
      <c r="D23" t="s">
        <v>4160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  <c r="V23" t="str">
        <f t="shared" si="4"/>
        <v>January</v>
      </c>
      <c r="W23" t="str">
        <f t="shared" si="5"/>
        <v>OK</v>
      </c>
      <c r="X23" s="5" t="str">
        <f t="shared" si="6"/>
        <v>Negative Discount</v>
      </c>
      <c r="Y23">
        <f t="shared" si="0"/>
        <v>-0.23</v>
      </c>
      <c r="Z23">
        <f t="shared" si="1"/>
        <v>1</v>
      </c>
      <c r="AA23">
        <f t="shared" si="7"/>
        <v>1394.9248000000002</v>
      </c>
      <c r="AB23">
        <f t="shared" si="8"/>
        <v>3432.6348000000003</v>
      </c>
      <c r="AC23">
        <f t="shared" si="9"/>
        <v>6</v>
      </c>
      <c r="AD23" t="str">
        <f t="shared" si="2"/>
        <v>West</v>
      </c>
      <c r="AE23" t="str">
        <f t="shared" si="10"/>
        <v>Invalid</v>
      </c>
      <c r="AF23" t="str">
        <f t="shared" si="3"/>
        <v>Second Class</v>
      </c>
    </row>
    <row r="24" spans="1:32">
      <c r="A24" t="s">
        <v>4161</v>
      </c>
      <c r="B24" s="4">
        <v>45676</v>
      </c>
      <c r="C24" s="4">
        <v>45678</v>
      </c>
      <c r="D24" t="s">
        <v>4162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  <c r="V24" t="str">
        <f t="shared" si="4"/>
        <v>January</v>
      </c>
      <c r="W24" t="str">
        <f t="shared" si="5"/>
        <v>OK</v>
      </c>
      <c r="X24" t="str">
        <f t="shared" si="6"/>
        <v>OK</v>
      </c>
      <c r="Y24">
        <f t="shared" si="0"/>
        <v>0.15</v>
      </c>
      <c r="Z24">
        <f t="shared" si="1"/>
        <v>1</v>
      </c>
      <c r="AA24">
        <f t="shared" si="7"/>
        <v>1606.4819999999991</v>
      </c>
      <c r="AB24">
        <f t="shared" si="8"/>
        <v>8291.5119999999988</v>
      </c>
      <c r="AC24">
        <f t="shared" si="9"/>
        <v>2</v>
      </c>
      <c r="AD24" t="str">
        <f t="shared" si="2"/>
        <v>South</v>
      </c>
      <c r="AE24" t="str">
        <f t="shared" si="10"/>
        <v>Clean</v>
      </c>
      <c r="AF24" t="str">
        <f t="shared" si="3"/>
        <v>Standard Class</v>
      </c>
    </row>
    <row r="25" spans="1:32">
      <c r="A25" t="s">
        <v>4163</v>
      </c>
      <c r="B25" s="4">
        <v>45898</v>
      </c>
      <c r="C25" s="4">
        <v>45900</v>
      </c>
      <c r="D25" t="s">
        <v>4164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  <c r="V25" t="str">
        <f t="shared" si="4"/>
        <v>August</v>
      </c>
      <c r="W25" t="str">
        <f t="shared" si="5"/>
        <v>OK</v>
      </c>
      <c r="X25" t="str">
        <f t="shared" si="6"/>
        <v>OK</v>
      </c>
      <c r="Y25">
        <f t="shared" si="0"/>
        <v>0.2</v>
      </c>
      <c r="Z25">
        <f t="shared" si="1"/>
        <v>1</v>
      </c>
      <c r="AA25">
        <f t="shared" si="7"/>
        <v>1943.7720000000008</v>
      </c>
      <c r="AB25">
        <f t="shared" si="8"/>
        <v>6265.6320000000005</v>
      </c>
      <c r="AC25">
        <f t="shared" si="9"/>
        <v>2</v>
      </c>
      <c r="AD25" t="str">
        <f t="shared" si="2"/>
        <v>East</v>
      </c>
      <c r="AE25" t="str">
        <f t="shared" si="10"/>
        <v>Clean</v>
      </c>
      <c r="AF25" t="str">
        <f t="shared" si="3"/>
        <v>First Class</v>
      </c>
    </row>
    <row r="26" spans="1:32">
      <c r="A26" t="s">
        <v>4165</v>
      </c>
      <c r="B26" s="4">
        <v>45385</v>
      </c>
      <c r="C26" s="4">
        <v>45294</v>
      </c>
      <c r="D26" t="s">
        <v>4166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  <c r="V26" t="str">
        <f t="shared" si="4"/>
        <v>January</v>
      </c>
      <c r="W26" s="5" t="str">
        <f t="shared" si="5"/>
        <v>Invalid</v>
      </c>
      <c r="X26" t="str">
        <f t="shared" si="6"/>
        <v>OK</v>
      </c>
      <c r="Y26">
        <f t="shared" si="0"/>
        <v>0.25</v>
      </c>
      <c r="Z26">
        <f t="shared" si="1"/>
        <v>1</v>
      </c>
      <c r="AA26">
        <f t="shared" si="7"/>
        <v>2541.4699999999993</v>
      </c>
      <c r="AB26">
        <f t="shared" si="8"/>
        <v>13478.82</v>
      </c>
      <c r="AC26" s="5">
        <f t="shared" si="9"/>
        <v>-91</v>
      </c>
      <c r="AD26" t="str">
        <f t="shared" si="2"/>
        <v>North</v>
      </c>
      <c r="AE26" t="str">
        <f t="shared" si="10"/>
        <v>Invalid</v>
      </c>
      <c r="AF26" t="str">
        <f t="shared" si="3"/>
        <v>Standard Class</v>
      </c>
    </row>
    <row r="27" spans="1:32">
      <c r="A27" t="s">
        <v>4167</v>
      </c>
      <c r="B27" s="4">
        <v>45576</v>
      </c>
      <c r="C27" s="4">
        <v>45584</v>
      </c>
      <c r="D27" t="s">
        <v>4168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  <c r="V27" t="str">
        <f t="shared" si="4"/>
        <v>October</v>
      </c>
      <c r="W27" t="str">
        <f t="shared" si="5"/>
        <v>OK</v>
      </c>
      <c r="X27" t="str">
        <f t="shared" si="6"/>
        <v>OK</v>
      </c>
      <c r="Y27">
        <f t="shared" si="0"/>
        <v>0.15</v>
      </c>
      <c r="Z27">
        <f t="shared" si="1"/>
        <v>1</v>
      </c>
      <c r="AA27">
        <f t="shared" si="7"/>
        <v>2367.4299999999994</v>
      </c>
      <c r="AB27">
        <f t="shared" si="8"/>
        <v>7335.8399999999992</v>
      </c>
      <c r="AC27">
        <f t="shared" si="9"/>
        <v>8</v>
      </c>
      <c r="AD27" t="str">
        <f t="shared" si="2"/>
        <v>East</v>
      </c>
      <c r="AE27" t="str">
        <f t="shared" si="10"/>
        <v>Clean</v>
      </c>
      <c r="AF27" t="str">
        <f t="shared" si="3"/>
        <v>First Class</v>
      </c>
    </row>
    <row r="28" spans="1:32">
      <c r="A28" t="s">
        <v>4169</v>
      </c>
      <c r="B28" s="4">
        <v>45619</v>
      </c>
      <c r="C28" s="4">
        <v>45619</v>
      </c>
      <c r="D28" t="s">
        <v>4170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  <c r="V28" t="str">
        <f t="shared" si="4"/>
        <v>November</v>
      </c>
      <c r="W28" s="5" t="str">
        <f t="shared" si="5"/>
        <v>Invalid</v>
      </c>
      <c r="X28" t="str">
        <f t="shared" si="6"/>
        <v>OK</v>
      </c>
      <c r="Y28">
        <f t="shared" si="0"/>
        <v>0.1</v>
      </c>
      <c r="Z28">
        <f t="shared" si="1"/>
        <v>1</v>
      </c>
      <c r="AA28">
        <f t="shared" si="7"/>
        <v>1050.5180000000003</v>
      </c>
      <c r="AB28">
        <f t="shared" si="8"/>
        <v>2578.0680000000002</v>
      </c>
      <c r="AC28">
        <f t="shared" si="9"/>
        <v>0</v>
      </c>
      <c r="AD28" t="str">
        <f t="shared" si="2"/>
        <v>North</v>
      </c>
      <c r="AE28" t="str">
        <f t="shared" si="10"/>
        <v>Clean</v>
      </c>
      <c r="AF28" t="str">
        <f t="shared" si="3"/>
        <v>Standard Class</v>
      </c>
    </row>
    <row r="29" spans="1:32">
      <c r="A29" t="s">
        <v>4171</v>
      </c>
      <c r="B29" s="4">
        <v>45929</v>
      </c>
      <c r="C29" s="4">
        <v>45935</v>
      </c>
      <c r="D29" t="s">
        <v>4172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  <c r="V29" t="str">
        <f t="shared" si="4"/>
        <v>October</v>
      </c>
      <c r="W29" t="str">
        <f t="shared" si="5"/>
        <v>OK</v>
      </c>
      <c r="X29" t="str">
        <f t="shared" si="6"/>
        <v>OK</v>
      </c>
      <c r="Y29">
        <f t="shared" si="0"/>
        <v>0.25</v>
      </c>
      <c r="Z29">
        <f t="shared" si="1"/>
        <v>1</v>
      </c>
      <c r="AA29">
        <f t="shared" si="7"/>
        <v>2064.0524999999998</v>
      </c>
      <c r="AB29">
        <f t="shared" si="8"/>
        <v>6774.4124999999995</v>
      </c>
      <c r="AC29">
        <f t="shared" si="9"/>
        <v>6</v>
      </c>
      <c r="AD29" t="str">
        <f t="shared" si="2"/>
        <v>South</v>
      </c>
      <c r="AE29" t="str">
        <f t="shared" si="10"/>
        <v>Clean</v>
      </c>
      <c r="AF29" t="str">
        <f t="shared" si="3"/>
        <v>Second Class</v>
      </c>
    </row>
    <row r="30" spans="1:32">
      <c r="A30" t="s">
        <v>4173</v>
      </c>
      <c r="B30" s="4">
        <v>45576</v>
      </c>
      <c r="C30" s="4">
        <v>45583</v>
      </c>
      <c r="D30" t="s">
        <v>4174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  <c r="V30" t="str">
        <f t="shared" si="4"/>
        <v>October</v>
      </c>
      <c r="W30" t="str">
        <f t="shared" si="5"/>
        <v>OK</v>
      </c>
      <c r="X30" t="str">
        <f t="shared" si="6"/>
        <v>OK</v>
      </c>
      <c r="Y30">
        <f t="shared" si="0"/>
        <v>0.25</v>
      </c>
      <c r="Z30">
        <f t="shared" si="1"/>
        <v>1</v>
      </c>
      <c r="AA30">
        <f t="shared" si="7"/>
        <v>791</v>
      </c>
      <c r="AB30">
        <f t="shared" si="8"/>
        <v>2913.33</v>
      </c>
      <c r="AC30">
        <f t="shared" si="9"/>
        <v>7</v>
      </c>
      <c r="AD30" t="str">
        <f t="shared" si="2"/>
        <v>West</v>
      </c>
      <c r="AE30" t="str">
        <f t="shared" si="10"/>
        <v>Clean</v>
      </c>
      <c r="AF30" t="str">
        <f t="shared" si="3"/>
        <v>Second Class</v>
      </c>
    </row>
    <row r="31" spans="1:32">
      <c r="A31" t="s">
        <v>4175</v>
      </c>
      <c r="B31" s="4">
        <v>45882</v>
      </c>
      <c r="C31" s="4">
        <v>45882</v>
      </c>
      <c r="D31" t="s">
        <v>4176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  <c r="V31" t="str">
        <f t="shared" si="4"/>
        <v>August</v>
      </c>
      <c r="W31" s="5" t="str">
        <f t="shared" si="5"/>
        <v>Invalid</v>
      </c>
      <c r="X31" t="str">
        <f t="shared" si="6"/>
        <v>OK</v>
      </c>
      <c r="Y31">
        <f t="shared" si="0"/>
        <v>0.15</v>
      </c>
      <c r="Z31">
        <f t="shared" si="1"/>
        <v>1</v>
      </c>
      <c r="AA31">
        <f t="shared" si="7"/>
        <v>97.838499999999996</v>
      </c>
      <c r="AB31">
        <f t="shared" si="8"/>
        <v>217.60849999999999</v>
      </c>
      <c r="AC31">
        <f t="shared" si="9"/>
        <v>0</v>
      </c>
      <c r="AD31" t="str">
        <f t="shared" si="2"/>
        <v>South</v>
      </c>
      <c r="AE31" t="str">
        <f t="shared" si="10"/>
        <v>Clean</v>
      </c>
      <c r="AF31" t="str">
        <f t="shared" si="3"/>
        <v>Standard Class</v>
      </c>
    </row>
    <row r="32" spans="1:32">
      <c r="A32" t="s">
        <v>4177</v>
      </c>
      <c r="B32" s="4">
        <v>45537</v>
      </c>
      <c r="C32" s="4">
        <v>45628</v>
      </c>
      <c r="D32" t="s">
        <v>4178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  <c r="V32" t="str">
        <f t="shared" si="4"/>
        <v>December</v>
      </c>
      <c r="W32" t="str">
        <f t="shared" si="5"/>
        <v>OK</v>
      </c>
      <c r="X32" t="str">
        <f t="shared" si="6"/>
        <v>OK</v>
      </c>
      <c r="Y32">
        <f t="shared" si="0"/>
        <v>0.1</v>
      </c>
      <c r="Z32">
        <f t="shared" si="1"/>
        <v>1</v>
      </c>
      <c r="AA32">
        <f t="shared" si="7"/>
        <v>1077.7029999999997</v>
      </c>
      <c r="AB32">
        <f t="shared" si="8"/>
        <v>3079.5929999999998</v>
      </c>
      <c r="AC32">
        <f t="shared" si="9"/>
        <v>91</v>
      </c>
      <c r="AD32" t="str">
        <f t="shared" si="2"/>
        <v>West</v>
      </c>
      <c r="AE32" t="str">
        <f t="shared" si="10"/>
        <v>Clean</v>
      </c>
      <c r="AF32" t="str">
        <f t="shared" si="3"/>
        <v>First Class</v>
      </c>
    </row>
    <row r="33" spans="1:32">
      <c r="A33" t="s">
        <v>4179</v>
      </c>
      <c r="B33" s="4">
        <v>45823</v>
      </c>
      <c r="C33" s="4">
        <v>45827</v>
      </c>
      <c r="D33" t="s">
        <v>4180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  <c r="V33" t="str">
        <f t="shared" si="4"/>
        <v>June</v>
      </c>
      <c r="W33" t="str">
        <f t="shared" si="5"/>
        <v>OK</v>
      </c>
      <c r="X33" t="str">
        <f t="shared" si="6"/>
        <v>OK</v>
      </c>
      <c r="Y33">
        <f t="shared" si="0"/>
        <v>0</v>
      </c>
      <c r="Z33">
        <f t="shared" si="1"/>
        <v>1</v>
      </c>
      <c r="AA33">
        <f t="shared" si="7"/>
        <v>10063.200000000001</v>
      </c>
      <c r="AB33">
        <f t="shared" si="8"/>
        <v>27832.95</v>
      </c>
      <c r="AC33">
        <f t="shared" si="9"/>
        <v>4</v>
      </c>
      <c r="AD33" t="str">
        <f t="shared" si="2"/>
        <v>West</v>
      </c>
      <c r="AE33" t="str">
        <f t="shared" si="10"/>
        <v>Clean</v>
      </c>
      <c r="AF33" t="str">
        <f t="shared" si="3"/>
        <v>Second Class</v>
      </c>
    </row>
    <row r="34" spans="1:32">
      <c r="A34" t="s">
        <v>4181</v>
      </c>
      <c r="B34" s="4">
        <v>45618</v>
      </c>
      <c r="C34" s="4">
        <v>45622</v>
      </c>
      <c r="D34" t="s">
        <v>4182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  <c r="V34" t="str">
        <f t="shared" si="4"/>
        <v>November</v>
      </c>
      <c r="W34" t="str">
        <f t="shared" si="5"/>
        <v>OK</v>
      </c>
      <c r="X34" t="str">
        <f t="shared" si="6"/>
        <v>OK</v>
      </c>
      <c r="Y34">
        <f t="shared" si="0"/>
        <v>0</v>
      </c>
      <c r="Z34">
        <f t="shared" si="1"/>
        <v>1</v>
      </c>
      <c r="AA34">
        <f t="shared" si="7"/>
        <v>4473.83</v>
      </c>
      <c r="AB34">
        <f t="shared" si="8"/>
        <v>12003.75</v>
      </c>
      <c r="AC34">
        <f t="shared" si="9"/>
        <v>4</v>
      </c>
      <c r="AD34" t="str">
        <f t="shared" si="2"/>
        <v>South</v>
      </c>
      <c r="AE34" t="str">
        <f t="shared" si="10"/>
        <v>Clean</v>
      </c>
      <c r="AF34" t="str">
        <f t="shared" si="3"/>
        <v>Second Class</v>
      </c>
    </row>
    <row r="35" spans="1:32">
      <c r="A35" t="s">
        <v>4183</v>
      </c>
      <c r="B35" s="4">
        <v>45495</v>
      </c>
      <c r="C35" s="4">
        <v>45500</v>
      </c>
      <c r="D35" t="s">
        <v>4184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  <c r="V35" t="str">
        <f t="shared" si="4"/>
        <v>July</v>
      </c>
      <c r="W35" t="str">
        <f t="shared" si="5"/>
        <v>OK</v>
      </c>
      <c r="X35" t="str">
        <f t="shared" si="6"/>
        <v>OK</v>
      </c>
      <c r="Y35">
        <f t="shared" si="0"/>
        <v>0.25</v>
      </c>
      <c r="Z35">
        <f t="shared" si="1"/>
        <v>1</v>
      </c>
      <c r="AA35">
        <f t="shared" si="7"/>
        <v>514.42250000000013</v>
      </c>
      <c r="AB35">
        <f t="shared" si="8"/>
        <v>2585.1525000000001</v>
      </c>
      <c r="AC35">
        <f t="shared" si="9"/>
        <v>5</v>
      </c>
      <c r="AD35" t="str">
        <f t="shared" si="2"/>
        <v>West</v>
      </c>
      <c r="AE35" t="str">
        <f t="shared" si="10"/>
        <v>Clean</v>
      </c>
      <c r="AF35" t="str">
        <f t="shared" si="3"/>
        <v>Same Day</v>
      </c>
    </row>
    <row r="36" spans="1:32">
      <c r="A36" t="s">
        <v>4185</v>
      </c>
      <c r="B36" s="4">
        <v>45688</v>
      </c>
      <c r="C36" s="4">
        <v>45693</v>
      </c>
      <c r="D36" t="s">
        <v>4186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M36" t="s">
        <v>4187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  <c r="V36" t="str">
        <f t="shared" si="4"/>
        <v>February</v>
      </c>
      <c r="W36" t="str">
        <f t="shared" si="5"/>
        <v>OK</v>
      </c>
      <c r="X36" t="str">
        <f t="shared" si="6"/>
        <v>OK</v>
      </c>
      <c r="Y36">
        <f t="shared" si="0"/>
        <v>0.2</v>
      </c>
      <c r="Z36">
        <f t="shared" si="1"/>
        <v>1</v>
      </c>
      <c r="AA36">
        <f t="shared" si="7"/>
        <v>2315.2939999999999</v>
      </c>
      <c r="AB36">
        <f t="shared" si="8"/>
        <v>6655.5039999999999</v>
      </c>
      <c r="AC36">
        <f t="shared" si="9"/>
        <v>5</v>
      </c>
      <c r="AD36" t="str">
        <f t="shared" si="2"/>
        <v>East</v>
      </c>
      <c r="AE36" t="str">
        <f t="shared" si="10"/>
        <v>Clean</v>
      </c>
      <c r="AF36" s="5" t="str">
        <f t="shared" si="3"/>
        <v>Unknown</v>
      </c>
    </row>
    <row r="37" spans="1:32">
      <c r="A37" t="s">
        <v>4188</v>
      </c>
      <c r="B37" s="4">
        <v>45441</v>
      </c>
      <c r="C37" s="4">
        <v>45441</v>
      </c>
      <c r="D37" t="s">
        <v>4189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  <c r="V37" t="str">
        <f t="shared" si="4"/>
        <v>May</v>
      </c>
      <c r="W37" s="5" t="str">
        <f t="shared" si="5"/>
        <v>Invalid</v>
      </c>
      <c r="X37" t="str">
        <f t="shared" si="6"/>
        <v>OK</v>
      </c>
      <c r="Y37">
        <f t="shared" si="0"/>
        <v>0.05</v>
      </c>
      <c r="Z37">
        <f t="shared" si="1"/>
        <v>1</v>
      </c>
      <c r="AA37">
        <f t="shared" si="7"/>
        <v>3740.2819999999974</v>
      </c>
      <c r="AB37">
        <f t="shared" si="8"/>
        <v>19054.111999999997</v>
      </c>
      <c r="AC37">
        <f t="shared" si="9"/>
        <v>0</v>
      </c>
      <c r="AD37" t="str">
        <f t="shared" si="2"/>
        <v>West</v>
      </c>
      <c r="AE37" t="str">
        <f t="shared" si="10"/>
        <v>Clean</v>
      </c>
      <c r="AF37" t="str">
        <f t="shared" si="3"/>
        <v>Second Class</v>
      </c>
    </row>
    <row r="38" spans="1:32">
      <c r="A38" t="s">
        <v>4190</v>
      </c>
      <c r="B38" s="4">
        <v>45590</v>
      </c>
      <c r="C38" s="4">
        <v>45593</v>
      </c>
      <c r="D38" t="s">
        <v>4191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  <c r="V38" t="str">
        <f t="shared" si="4"/>
        <v>October</v>
      </c>
      <c r="W38" t="str">
        <f t="shared" si="5"/>
        <v>OK</v>
      </c>
      <c r="X38" t="str">
        <f t="shared" si="6"/>
        <v>OK</v>
      </c>
      <c r="Y38">
        <f t="shared" si="0"/>
        <v>0</v>
      </c>
      <c r="Z38">
        <f t="shared" si="1"/>
        <v>1</v>
      </c>
      <c r="AA38">
        <f t="shared" si="7"/>
        <v>2708.5599999999995</v>
      </c>
      <c r="AB38">
        <f t="shared" si="8"/>
        <v>9379.41</v>
      </c>
      <c r="AC38">
        <f t="shared" si="9"/>
        <v>3</v>
      </c>
      <c r="AD38" t="str">
        <f t="shared" si="2"/>
        <v>West</v>
      </c>
      <c r="AE38" t="str">
        <f t="shared" si="10"/>
        <v>Clean</v>
      </c>
      <c r="AF38" t="str">
        <f t="shared" si="3"/>
        <v>Second Class</v>
      </c>
    </row>
    <row r="39" spans="1:32">
      <c r="A39" t="s">
        <v>4192</v>
      </c>
      <c r="B39" s="4">
        <v>45867</v>
      </c>
      <c r="C39" s="4">
        <v>45867</v>
      </c>
      <c r="D39" t="s">
        <v>4193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67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  <c r="V39" t="str">
        <f t="shared" si="4"/>
        <v>July</v>
      </c>
      <c r="W39" s="5" t="str">
        <f t="shared" si="5"/>
        <v>Invalid</v>
      </c>
      <c r="X39" t="str">
        <f t="shared" si="6"/>
        <v>OK</v>
      </c>
      <c r="Y39">
        <f t="shared" si="0"/>
        <v>0.2</v>
      </c>
      <c r="Z39">
        <f t="shared" si="1"/>
        <v>1</v>
      </c>
      <c r="AA39">
        <f t="shared" si="7"/>
        <v>927.03799999999956</v>
      </c>
      <c r="AB39">
        <f t="shared" si="8"/>
        <v>4248.1279999999997</v>
      </c>
      <c r="AC39">
        <f t="shared" si="9"/>
        <v>0</v>
      </c>
      <c r="AD39" t="str">
        <f t="shared" si="2"/>
        <v>West</v>
      </c>
      <c r="AE39" t="str">
        <f t="shared" si="10"/>
        <v>Clean</v>
      </c>
      <c r="AF39" t="str">
        <f t="shared" si="3"/>
        <v>Standard Class</v>
      </c>
    </row>
    <row r="40" spans="1:32">
      <c r="A40" t="s">
        <v>4194</v>
      </c>
      <c r="B40" s="4">
        <v>45460</v>
      </c>
      <c r="C40" s="4">
        <v>45465</v>
      </c>
      <c r="D40" t="s">
        <v>4195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  <c r="V40" t="str">
        <f t="shared" si="4"/>
        <v>June</v>
      </c>
      <c r="W40" t="str">
        <f t="shared" si="5"/>
        <v>OK</v>
      </c>
      <c r="X40" t="str">
        <f t="shared" si="6"/>
        <v>OK</v>
      </c>
      <c r="Y40">
        <f t="shared" si="0"/>
        <v>0.1</v>
      </c>
      <c r="Z40">
        <f t="shared" si="1"/>
        <v>1</v>
      </c>
      <c r="AA40">
        <f t="shared" si="7"/>
        <v>3422.4139999999989</v>
      </c>
      <c r="AB40">
        <f t="shared" si="8"/>
        <v>13927.284</v>
      </c>
      <c r="AC40">
        <f t="shared" si="9"/>
        <v>5</v>
      </c>
      <c r="AD40" t="str">
        <f t="shared" si="2"/>
        <v>West</v>
      </c>
      <c r="AE40" t="str">
        <f t="shared" si="10"/>
        <v>Clean</v>
      </c>
      <c r="AF40" t="str">
        <f t="shared" si="3"/>
        <v>First Class</v>
      </c>
    </row>
    <row r="41" spans="1:32">
      <c r="A41" t="s">
        <v>4196</v>
      </c>
      <c r="B41" s="4">
        <v>45608</v>
      </c>
      <c r="C41" s="4">
        <v>45637</v>
      </c>
      <c r="D41" t="s">
        <v>4197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  <c r="V41" t="str">
        <f t="shared" si="4"/>
        <v>December</v>
      </c>
      <c r="W41" t="str">
        <f t="shared" si="5"/>
        <v>OK</v>
      </c>
      <c r="X41" t="str">
        <f t="shared" si="6"/>
        <v>OK</v>
      </c>
      <c r="Y41">
        <f t="shared" si="0"/>
        <v>0.1</v>
      </c>
      <c r="Z41">
        <f t="shared" si="1"/>
        <v>1</v>
      </c>
      <c r="AA41">
        <f t="shared" si="7"/>
        <v>1560.5420000000008</v>
      </c>
      <c r="AB41">
        <f t="shared" si="8"/>
        <v>4935.3120000000008</v>
      </c>
      <c r="AC41">
        <f t="shared" si="9"/>
        <v>29</v>
      </c>
      <c r="AD41" t="str">
        <f t="shared" si="2"/>
        <v>West</v>
      </c>
      <c r="AE41" t="str">
        <f t="shared" si="10"/>
        <v>Clean</v>
      </c>
      <c r="AF41" t="str">
        <f t="shared" si="3"/>
        <v>First Class</v>
      </c>
    </row>
    <row r="42" spans="1:32">
      <c r="A42" t="s">
        <v>4198</v>
      </c>
      <c r="B42" s="4">
        <v>45575</v>
      </c>
      <c r="C42" s="4">
        <v>45581</v>
      </c>
      <c r="D42" t="s">
        <v>4199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  <c r="V42" t="str">
        <f t="shared" si="4"/>
        <v>October</v>
      </c>
      <c r="W42" t="str">
        <f t="shared" si="5"/>
        <v>OK</v>
      </c>
      <c r="X42" t="str">
        <f t="shared" si="6"/>
        <v>OK</v>
      </c>
      <c r="Y42">
        <f t="shared" si="0"/>
        <v>0.2</v>
      </c>
      <c r="Z42">
        <f t="shared" si="1"/>
        <v>1</v>
      </c>
      <c r="AA42">
        <f t="shared" si="7"/>
        <v>2061.5419999999995</v>
      </c>
      <c r="AB42">
        <f t="shared" si="8"/>
        <v>14051.912</v>
      </c>
      <c r="AC42">
        <f t="shared" si="9"/>
        <v>6</v>
      </c>
      <c r="AD42" t="str">
        <f t="shared" si="2"/>
        <v>West</v>
      </c>
      <c r="AE42" t="str">
        <f t="shared" si="10"/>
        <v>Clean</v>
      </c>
      <c r="AF42" t="str">
        <f t="shared" si="3"/>
        <v>Standard Class</v>
      </c>
    </row>
    <row r="43" spans="1:32">
      <c r="A43" t="s">
        <v>4200</v>
      </c>
      <c r="B43" s="4">
        <v>45629</v>
      </c>
      <c r="C43" s="4">
        <v>45368</v>
      </c>
      <c r="D43" t="s">
        <v>4201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  <c r="V43" t="str">
        <f t="shared" si="4"/>
        <v>March</v>
      </c>
      <c r="W43" s="5" t="str">
        <f t="shared" si="5"/>
        <v>Invalid</v>
      </c>
      <c r="X43" t="str">
        <f t="shared" si="6"/>
        <v>OK</v>
      </c>
      <c r="Y43">
        <f t="shared" si="0"/>
        <v>0</v>
      </c>
      <c r="Z43">
        <f t="shared" si="1"/>
        <v>1</v>
      </c>
      <c r="AA43">
        <f t="shared" si="7"/>
        <v>2606.5899999999992</v>
      </c>
      <c r="AB43">
        <f t="shared" si="8"/>
        <v>6846.48</v>
      </c>
      <c r="AC43" s="5">
        <f t="shared" si="9"/>
        <v>-261</v>
      </c>
      <c r="AD43" t="str">
        <f t="shared" si="2"/>
        <v>East</v>
      </c>
      <c r="AE43" t="str">
        <f t="shared" si="10"/>
        <v>Invalid</v>
      </c>
      <c r="AF43" t="str">
        <f t="shared" si="3"/>
        <v>Same Day</v>
      </c>
    </row>
    <row r="44" spans="1:32">
      <c r="A44" t="s">
        <v>4202</v>
      </c>
      <c r="B44" s="4">
        <v>45940</v>
      </c>
      <c r="C44" s="4">
        <v>45945</v>
      </c>
      <c r="D44" t="s">
        <v>4203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  <c r="V44" t="str">
        <f t="shared" si="4"/>
        <v>October</v>
      </c>
      <c r="W44" t="str">
        <f t="shared" si="5"/>
        <v>OK</v>
      </c>
      <c r="X44" t="str">
        <f t="shared" si="6"/>
        <v>OK</v>
      </c>
      <c r="Y44">
        <f t="shared" si="0"/>
        <v>0.05</v>
      </c>
      <c r="Z44">
        <f t="shared" si="1"/>
        <v>1</v>
      </c>
      <c r="AA44">
        <f t="shared" si="7"/>
        <v>2950.7919999999995</v>
      </c>
      <c r="AB44">
        <f t="shared" si="8"/>
        <v>7447.0119999999997</v>
      </c>
      <c r="AC44">
        <f t="shared" si="9"/>
        <v>5</v>
      </c>
      <c r="AD44" t="str">
        <f t="shared" si="2"/>
        <v>East</v>
      </c>
      <c r="AE44" t="str">
        <f t="shared" si="10"/>
        <v>Clean</v>
      </c>
      <c r="AF44" t="str">
        <f t="shared" si="3"/>
        <v>Standard Class</v>
      </c>
    </row>
    <row r="45" spans="1:32">
      <c r="A45" t="s">
        <v>4204</v>
      </c>
      <c r="B45" s="4">
        <v>45511</v>
      </c>
      <c r="C45" s="4">
        <v>45487</v>
      </c>
      <c r="D45" t="s">
        <v>4205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  <c r="V45" t="str">
        <f t="shared" si="4"/>
        <v>July</v>
      </c>
      <c r="W45" s="5" t="str">
        <f t="shared" si="5"/>
        <v>Invalid</v>
      </c>
      <c r="X45" t="str">
        <f t="shared" si="6"/>
        <v>OK</v>
      </c>
      <c r="Y45">
        <f t="shared" si="0"/>
        <v>0</v>
      </c>
      <c r="Z45">
        <f t="shared" si="1"/>
        <v>1</v>
      </c>
      <c r="AA45">
        <f t="shared" si="7"/>
        <v>1309.6100000000001</v>
      </c>
      <c r="AB45">
        <f t="shared" si="8"/>
        <v>3030.69</v>
      </c>
      <c r="AC45" s="5">
        <f t="shared" si="9"/>
        <v>-24</v>
      </c>
      <c r="AD45" t="str">
        <f t="shared" si="2"/>
        <v>East</v>
      </c>
      <c r="AE45" t="str">
        <f t="shared" si="10"/>
        <v>Invalid</v>
      </c>
      <c r="AF45" t="str">
        <f t="shared" si="3"/>
        <v>Same Day</v>
      </c>
    </row>
    <row r="46" spans="1:32">
      <c r="A46" t="s">
        <v>4206</v>
      </c>
      <c r="B46" s="4">
        <v>45465</v>
      </c>
      <c r="C46" s="4">
        <v>45468</v>
      </c>
      <c r="D46" t="s">
        <v>4207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  <c r="V46" t="str">
        <f t="shared" si="4"/>
        <v>June</v>
      </c>
      <c r="W46" t="str">
        <f t="shared" si="5"/>
        <v>OK</v>
      </c>
      <c r="X46" t="str">
        <f t="shared" si="6"/>
        <v>OK</v>
      </c>
      <c r="Y46">
        <f t="shared" si="0"/>
        <v>0.1</v>
      </c>
      <c r="Z46">
        <f t="shared" si="1"/>
        <v>1</v>
      </c>
      <c r="AA46">
        <f t="shared" si="7"/>
        <v>9594.9370000000017</v>
      </c>
      <c r="AB46">
        <f t="shared" si="8"/>
        <v>26971.137000000002</v>
      </c>
      <c r="AC46">
        <f t="shared" si="9"/>
        <v>3</v>
      </c>
      <c r="AD46" t="str">
        <f t="shared" si="2"/>
        <v>North</v>
      </c>
      <c r="AE46" t="str">
        <f t="shared" si="10"/>
        <v>Clean</v>
      </c>
      <c r="AF46" t="str">
        <f t="shared" si="3"/>
        <v>Standard Class</v>
      </c>
    </row>
    <row r="47" spans="1:32">
      <c r="A47" t="s">
        <v>4208</v>
      </c>
      <c r="B47" s="4">
        <v>45309</v>
      </c>
      <c r="C47" s="4">
        <v>45315</v>
      </c>
      <c r="D47" t="s">
        <v>4209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  <c r="V47" t="str">
        <f t="shared" si="4"/>
        <v>January</v>
      </c>
      <c r="W47" t="str">
        <f t="shared" si="5"/>
        <v>OK</v>
      </c>
      <c r="X47" t="str">
        <f t="shared" si="6"/>
        <v>OK</v>
      </c>
      <c r="Y47">
        <f t="shared" si="0"/>
        <v>0.05</v>
      </c>
      <c r="Z47">
        <f t="shared" si="1"/>
        <v>1</v>
      </c>
      <c r="AA47">
        <f t="shared" si="7"/>
        <v>12363.952000000001</v>
      </c>
      <c r="AB47">
        <f t="shared" si="8"/>
        <v>29851.432000000001</v>
      </c>
      <c r="AC47">
        <f t="shared" si="9"/>
        <v>6</v>
      </c>
      <c r="AD47" t="str">
        <f t="shared" si="2"/>
        <v>East</v>
      </c>
      <c r="AE47" t="str">
        <f t="shared" si="10"/>
        <v>Clean</v>
      </c>
      <c r="AF47" t="str">
        <f t="shared" si="3"/>
        <v>Second Class</v>
      </c>
    </row>
    <row r="48" spans="1:32">
      <c r="A48" t="s">
        <v>4210</v>
      </c>
      <c r="B48" s="4">
        <v>45492</v>
      </c>
      <c r="C48" s="4">
        <v>45492</v>
      </c>
      <c r="D48" t="s">
        <v>4211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  <c r="V48" t="str">
        <f t="shared" si="4"/>
        <v>July</v>
      </c>
      <c r="W48" s="5" t="str">
        <f t="shared" si="5"/>
        <v>Invalid</v>
      </c>
      <c r="X48" t="str">
        <f t="shared" si="6"/>
        <v>OK</v>
      </c>
      <c r="Y48">
        <f t="shared" si="0"/>
        <v>0.25</v>
      </c>
      <c r="Z48">
        <f t="shared" si="1"/>
        <v>1</v>
      </c>
      <c r="AA48">
        <f t="shared" si="7"/>
        <v>5430.8024999999998</v>
      </c>
      <c r="AB48">
        <f t="shared" si="8"/>
        <v>16110.8325</v>
      </c>
      <c r="AC48">
        <f t="shared" si="9"/>
        <v>0</v>
      </c>
      <c r="AD48" t="str">
        <f t="shared" si="2"/>
        <v>South</v>
      </c>
      <c r="AE48" t="str">
        <f t="shared" si="10"/>
        <v>Clean</v>
      </c>
      <c r="AF48" t="str">
        <f t="shared" si="3"/>
        <v>Standard Class</v>
      </c>
    </row>
    <row r="49" spans="1:32">
      <c r="A49" t="s">
        <v>4212</v>
      </c>
      <c r="B49" s="4">
        <v>45516</v>
      </c>
      <c r="C49" s="4">
        <v>45516</v>
      </c>
      <c r="D49" t="s">
        <v>4213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  <c r="V49" t="str">
        <f t="shared" si="4"/>
        <v>August</v>
      </c>
      <c r="W49" s="5" t="str">
        <f t="shared" si="5"/>
        <v>Invalid</v>
      </c>
      <c r="X49" t="str">
        <f t="shared" si="6"/>
        <v>OK</v>
      </c>
      <c r="Y49">
        <f t="shared" si="0"/>
        <v>0.1</v>
      </c>
      <c r="Z49">
        <f t="shared" si="1"/>
        <v>1</v>
      </c>
      <c r="AA49">
        <f t="shared" si="7"/>
        <v>5167.2720000000008</v>
      </c>
      <c r="AB49">
        <f t="shared" si="8"/>
        <v>17606.232</v>
      </c>
      <c r="AC49">
        <f t="shared" si="9"/>
        <v>0</v>
      </c>
      <c r="AD49" t="str">
        <f t="shared" si="2"/>
        <v>South</v>
      </c>
      <c r="AE49" t="str">
        <f t="shared" si="10"/>
        <v>Clean</v>
      </c>
      <c r="AF49" t="str">
        <f t="shared" si="3"/>
        <v>Standard Class</v>
      </c>
    </row>
    <row r="50" spans="1:32">
      <c r="A50" t="s">
        <v>4214</v>
      </c>
      <c r="B50" s="4">
        <v>45687</v>
      </c>
      <c r="C50" s="4">
        <v>45693</v>
      </c>
      <c r="D50" t="s">
        <v>4215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  <c r="V50" t="str">
        <f t="shared" si="4"/>
        <v>February</v>
      </c>
      <c r="W50" t="str">
        <f t="shared" si="5"/>
        <v>OK</v>
      </c>
      <c r="X50" t="str">
        <f t="shared" si="6"/>
        <v>OK</v>
      </c>
      <c r="Y50">
        <f t="shared" si="0"/>
        <v>0</v>
      </c>
      <c r="Z50">
        <f t="shared" si="1"/>
        <v>1</v>
      </c>
      <c r="AA50">
        <f t="shared" si="7"/>
        <v>7507.0299999999988</v>
      </c>
      <c r="AB50">
        <f t="shared" si="8"/>
        <v>28445.62</v>
      </c>
      <c r="AC50">
        <f t="shared" si="9"/>
        <v>6</v>
      </c>
      <c r="AD50" t="str">
        <f t="shared" si="2"/>
        <v>West</v>
      </c>
      <c r="AE50" t="str">
        <f t="shared" si="10"/>
        <v>Clean</v>
      </c>
      <c r="AF50" t="str">
        <f t="shared" si="3"/>
        <v>Second Class</v>
      </c>
    </row>
    <row r="51" spans="1:32">
      <c r="A51" t="s">
        <v>4216</v>
      </c>
      <c r="B51" s="4">
        <v>45447</v>
      </c>
      <c r="C51" s="4">
        <v>45395</v>
      </c>
      <c r="D51" t="s">
        <v>4217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  <c r="V51" t="str">
        <f t="shared" si="4"/>
        <v>April</v>
      </c>
      <c r="W51" s="5" t="str">
        <f t="shared" si="5"/>
        <v>Invalid</v>
      </c>
      <c r="X51" t="str">
        <f t="shared" si="6"/>
        <v>OK</v>
      </c>
      <c r="Y51">
        <f t="shared" si="0"/>
        <v>0.05</v>
      </c>
      <c r="Z51">
        <f t="shared" si="1"/>
        <v>1</v>
      </c>
      <c r="AA51">
        <f t="shared" si="7"/>
        <v>1017.0804999999991</v>
      </c>
      <c r="AB51">
        <f t="shared" si="8"/>
        <v>6772.5404999999992</v>
      </c>
      <c r="AC51" s="5">
        <f t="shared" si="9"/>
        <v>-52</v>
      </c>
      <c r="AD51" t="str">
        <f t="shared" si="2"/>
        <v>North</v>
      </c>
      <c r="AE51" t="str">
        <f t="shared" si="10"/>
        <v>Invalid</v>
      </c>
      <c r="AF51" t="str">
        <f t="shared" si="3"/>
        <v>Second Class</v>
      </c>
    </row>
    <row r="52" spans="1:32">
      <c r="A52" t="s">
        <v>4218</v>
      </c>
      <c r="B52" s="4">
        <v>45966</v>
      </c>
      <c r="C52" s="4">
        <v>45796</v>
      </c>
      <c r="D52" t="s">
        <v>4219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  <c r="V52" t="str">
        <f t="shared" si="4"/>
        <v>May</v>
      </c>
      <c r="W52" s="5" t="str">
        <f t="shared" si="5"/>
        <v>Invalid</v>
      </c>
      <c r="X52" t="str">
        <f t="shared" si="6"/>
        <v>OK</v>
      </c>
      <c r="Y52">
        <f t="shared" si="0"/>
        <v>0.15</v>
      </c>
      <c r="Z52">
        <f t="shared" si="1"/>
        <v>1</v>
      </c>
      <c r="AA52">
        <f t="shared" si="7"/>
        <v>884.73</v>
      </c>
      <c r="AB52">
        <f t="shared" si="8"/>
        <v>2025.38</v>
      </c>
      <c r="AC52" s="5">
        <f t="shared" si="9"/>
        <v>-170</v>
      </c>
      <c r="AD52" t="str">
        <f t="shared" si="2"/>
        <v>East</v>
      </c>
      <c r="AE52" t="str">
        <f t="shared" si="10"/>
        <v>Invalid</v>
      </c>
      <c r="AF52" t="str">
        <f t="shared" si="3"/>
        <v>Standard Class</v>
      </c>
    </row>
    <row r="53" spans="1:32">
      <c r="A53" t="s">
        <v>4220</v>
      </c>
      <c r="B53" s="4">
        <v>45406</v>
      </c>
      <c r="C53" s="4">
        <v>45411</v>
      </c>
      <c r="D53" t="s">
        <v>4221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  <c r="V53" t="str">
        <f t="shared" si="4"/>
        <v>April</v>
      </c>
      <c r="W53" t="str">
        <f t="shared" si="5"/>
        <v>OK</v>
      </c>
      <c r="X53" t="str">
        <f t="shared" si="6"/>
        <v>OK</v>
      </c>
      <c r="Y53">
        <f t="shared" si="0"/>
        <v>0</v>
      </c>
      <c r="Z53">
        <f t="shared" si="1"/>
        <v>1</v>
      </c>
      <c r="AA53">
        <f t="shared" si="7"/>
        <v>1728.7099999999991</v>
      </c>
      <c r="AB53">
        <f t="shared" si="8"/>
        <v>9168.48</v>
      </c>
      <c r="AC53">
        <f t="shared" si="9"/>
        <v>5</v>
      </c>
      <c r="AD53" t="str">
        <f t="shared" si="2"/>
        <v>South</v>
      </c>
      <c r="AE53" t="str">
        <f t="shared" si="10"/>
        <v>Clean</v>
      </c>
      <c r="AF53" t="str">
        <f t="shared" si="3"/>
        <v>Standard Class</v>
      </c>
    </row>
    <row r="54" spans="1:32">
      <c r="A54" t="s">
        <v>4222</v>
      </c>
      <c r="B54" s="4">
        <v>45591</v>
      </c>
      <c r="C54" s="4">
        <v>45593</v>
      </c>
      <c r="D54" t="s">
        <v>4223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  <c r="V54" t="str">
        <f t="shared" si="4"/>
        <v>October</v>
      </c>
      <c r="W54" t="str">
        <f t="shared" si="5"/>
        <v>OK</v>
      </c>
      <c r="X54" t="str">
        <f t="shared" si="6"/>
        <v>OK</v>
      </c>
      <c r="Y54">
        <f t="shared" si="0"/>
        <v>0</v>
      </c>
      <c r="Z54">
        <f t="shared" si="1"/>
        <v>1</v>
      </c>
      <c r="AA54">
        <f t="shared" si="7"/>
        <v>1993.380000000001</v>
      </c>
      <c r="AB54">
        <f t="shared" si="8"/>
        <v>12596.670000000002</v>
      </c>
      <c r="AC54">
        <f t="shared" si="9"/>
        <v>2</v>
      </c>
      <c r="AD54" t="str">
        <f t="shared" si="2"/>
        <v>North</v>
      </c>
      <c r="AE54" t="str">
        <f t="shared" si="10"/>
        <v>Clean</v>
      </c>
      <c r="AF54" t="str">
        <f t="shared" si="3"/>
        <v>First Class</v>
      </c>
    </row>
    <row r="55" spans="1:32">
      <c r="A55" t="s">
        <v>4224</v>
      </c>
      <c r="B55" s="4">
        <v>45747</v>
      </c>
      <c r="C55" s="4">
        <v>45747</v>
      </c>
      <c r="D55" t="s">
        <v>4225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  <c r="V55" t="str">
        <f t="shared" si="4"/>
        <v>March</v>
      </c>
      <c r="W55" s="5" t="str">
        <f t="shared" si="5"/>
        <v>Invalid</v>
      </c>
      <c r="X55" t="str">
        <f t="shared" si="6"/>
        <v>OK</v>
      </c>
      <c r="Y55">
        <f t="shared" si="0"/>
        <v>0.15</v>
      </c>
      <c r="Z55">
        <f t="shared" si="1"/>
        <v>1</v>
      </c>
      <c r="AA55">
        <f t="shared" si="7"/>
        <v>2293.0675000000006</v>
      </c>
      <c r="AB55">
        <f t="shared" si="8"/>
        <v>5131.7475000000004</v>
      </c>
      <c r="AC55">
        <f t="shared" si="9"/>
        <v>0</v>
      </c>
      <c r="AD55" t="str">
        <f t="shared" si="2"/>
        <v>West</v>
      </c>
      <c r="AE55" t="str">
        <f t="shared" si="10"/>
        <v>Clean</v>
      </c>
      <c r="AF55" t="str">
        <f t="shared" si="3"/>
        <v>First Class</v>
      </c>
    </row>
    <row r="56" spans="1:32">
      <c r="A56" t="s">
        <v>4226</v>
      </c>
      <c r="B56" s="4">
        <v>45807</v>
      </c>
      <c r="C56" s="4">
        <v>45810</v>
      </c>
      <c r="D56" t="s">
        <v>4227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  <c r="V56" t="str">
        <f t="shared" si="4"/>
        <v>June</v>
      </c>
      <c r="W56" t="str">
        <f t="shared" si="5"/>
        <v>OK</v>
      </c>
      <c r="X56" t="str">
        <f t="shared" si="6"/>
        <v>OK</v>
      </c>
      <c r="Y56">
        <f t="shared" si="0"/>
        <v>0.1</v>
      </c>
      <c r="Z56">
        <f t="shared" si="1"/>
        <v>1</v>
      </c>
      <c r="AA56">
        <f t="shared" si="7"/>
        <v>1422.2339999999999</v>
      </c>
      <c r="AB56">
        <f t="shared" si="8"/>
        <v>3415.4639999999999</v>
      </c>
      <c r="AC56">
        <f t="shared" si="9"/>
        <v>3</v>
      </c>
      <c r="AD56" t="str">
        <f t="shared" si="2"/>
        <v>South</v>
      </c>
      <c r="AE56" t="str">
        <f t="shared" si="10"/>
        <v>Clean</v>
      </c>
      <c r="AF56" t="str">
        <f t="shared" si="3"/>
        <v>Same Day</v>
      </c>
    </row>
    <row r="57" spans="1:32">
      <c r="A57" t="s">
        <v>4228</v>
      </c>
      <c r="B57" s="4">
        <v>45839</v>
      </c>
      <c r="C57" s="4">
        <v>45841</v>
      </c>
      <c r="D57" t="s">
        <v>4229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  <c r="V57" t="str">
        <f t="shared" si="4"/>
        <v>July</v>
      </c>
      <c r="W57" t="str">
        <f t="shared" si="5"/>
        <v>OK</v>
      </c>
      <c r="X57" t="str">
        <f t="shared" si="6"/>
        <v>OK</v>
      </c>
      <c r="Y57">
        <f t="shared" si="0"/>
        <v>0.25</v>
      </c>
      <c r="Z57">
        <f t="shared" si="1"/>
        <v>1</v>
      </c>
      <c r="AA57">
        <f t="shared" si="7"/>
        <v>608.40999999999985</v>
      </c>
      <c r="AB57">
        <f t="shared" si="8"/>
        <v>3411.54</v>
      </c>
      <c r="AC57">
        <f t="shared" si="9"/>
        <v>2</v>
      </c>
      <c r="AD57" t="str">
        <f t="shared" si="2"/>
        <v>South</v>
      </c>
      <c r="AE57" t="str">
        <f t="shared" si="10"/>
        <v>Clean</v>
      </c>
      <c r="AF57" t="str">
        <f t="shared" si="3"/>
        <v>Same Day</v>
      </c>
    </row>
    <row r="58" spans="1:32">
      <c r="A58" t="s">
        <v>4230</v>
      </c>
      <c r="B58" s="4">
        <v>45778</v>
      </c>
      <c r="C58" s="4">
        <v>45663</v>
      </c>
      <c r="D58" t="s">
        <v>4231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  <c r="V58" t="str">
        <f t="shared" si="4"/>
        <v>January</v>
      </c>
      <c r="W58" s="5" t="str">
        <f t="shared" si="5"/>
        <v>Invalid</v>
      </c>
      <c r="X58" t="str">
        <f t="shared" si="6"/>
        <v>OK</v>
      </c>
      <c r="Y58">
        <f t="shared" si="0"/>
        <v>0</v>
      </c>
      <c r="Z58">
        <f t="shared" si="1"/>
        <v>1</v>
      </c>
      <c r="AA58">
        <f t="shared" si="7"/>
        <v>2909</v>
      </c>
      <c r="AB58">
        <f t="shared" si="8"/>
        <v>9466.83</v>
      </c>
      <c r="AC58" s="5">
        <f t="shared" si="9"/>
        <v>-115</v>
      </c>
      <c r="AD58" t="str">
        <f t="shared" si="2"/>
        <v>South</v>
      </c>
      <c r="AE58" t="str">
        <f t="shared" si="10"/>
        <v>Invalid</v>
      </c>
      <c r="AF58" t="str">
        <f t="shared" si="3"/>
        <v>Second Class</v>
      </c>
    </row>
    <row r="59" spans="1:32">
      <c r="A59" t="s">
        <v>4232</v>
      </c>
      <c r="B59" s="4">
        <v>45475</v>
      </c>
      <c r="C59" s="4">
        <v>45337</v>
      </c>
      <c r="D59" t="s">
        <v>4233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  <c r="V59" t="str">
        <f t="shared" si="4"/>
        <v>February</v>
      </c>
      <c r="W59" s="5" t="str">
        <f t="shared" si="5"/>
        <v>Invalid</v>
      </c>
      <c r="X59" t="str">
        <f t="shared" si="6"/>
        <v>OK</v>
      </c>
      <c r="Y59">
        <f t="shared" si="0"/>
        <v>0</v>
      </c>
      <c r="Z59">
        <f t="shared" si="1"/>
        <v>1</v>
      </c>
      <c r="AA59">
        <f t="shared" si="7"/>
        <v>187.80999999999995</v>
      </c>
      <c r="AB59">
        <f t="shared" si="8"/>
        <v>1279.3499999999999</v>
      </c>
      <c r="AC59" s="5">
        <f t="shared" si="9"/>
        <v>-138</v>
      </c>
      <c r="AD59" t="str">
        <f t="shared" si="2"/>
        <v>West</v>
      </c>
      <c r="AE59" t="str">
        <f t="shared" si="10"/>
        <v>Invalid</v>
      </c>
      <c r="AF59" t="str">
        <f t="shared" si="3"/>
        <v>Same Day</v>
      </c>
    </row>
    <row r="60" spans="1:32">
      <c r="A60" t="s">
        <v>4234</v>
      </c>
      <c r="B60" s="4">
        <v>45300</v>
      </c>
      <c r="C60" s="4">
        <v>45542</v>
      </c>
      <c r="D60" t="s">
        <v>4235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M60" t="s">
        <v>4187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  <c r="V60" t="str">
        <f t="shared" si="4"/>
        <v>September</v>
      </c>
      <c r="W60" t="str">
        <f t="shared" si="5"/>
        <v>OK</v>
      </c>
      <c r="X60" t="str">
        <f t="shared" si="6"/>
        <v>OK</v>
      </c>
      <c r="Y60">
        <f t="shared" si="0"/>
        <v>0.1</v>
      </c>
      <c r="Z60">
        <f t="shared" si="1"/>
        <v>1</v>
      </c>
      <c r="AA60">
        <f t="shared" si="7"/>
        <v>4676.7280000000001</v>
      </c>
      <c r="AB60">
        <f t="shared" si="8"/>
        <v>11254.788</v>
      </c>
      <c r="AC60">
        <f t="shared" si="9"/>
        <v>242</v>
      </c>
      <c r="AD60" t="str">
        <f t="shared" si="2"/>
        <v>North</v>
      </c>
      <c r="AE60" t="str">
        <f t="shared" si="10"/>
        <v>Clean</v>
      </c>
      <c r="AF60" s="5" t="str">
        <f t="shared" si="3"/>
        <v>Unknown</v>
      </c>
    </row>
    <row r="61" spans="1:32">
      <c r="A61" t="s">
        <v>4236</v>
      </c>
      <c r="B61" s="4">
        <v>45493</v>
      </c>
      <c r="C61" s="4">
        <v>45498</v>
      </c>
      <c r="D61" t="s">
        <v>4237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  <c r="V61" t="str">
        <f t="shared" si="4"/>
        <v>July</v>
      </c>
      <c r="W61" t="str">
        <f t="shared" si="5"/>
        <v>OK</v>
      </c>
      <c r="X61" t="str">
        <f t="shared" si="6"/>
        <v>OK</v>
      </c>
      <c r="Y61">
        <f t="shared" si="0"/>
        <v>0.2</v>
      </c>
      <c r="Z61">
        <f t="shared" si="1"/>
        <v>1</v>
      </c>
      <c r="AA61">
        <f t="shared" si="7"/>
        <v>3545.1900000000023</v>
      </c>
      <c r="AB61">
        <f t="shared" si="8"/>
        <v>16535.400000000001</v>
      </c>
      <c r="AC61">
        <f t="shared" si="9"/>
        <v>5</v>
      </c>
      <c r="AD61" t="str">
        <f t="shared" si="2"/>
        <v>East</v>
      </c>
      <c r="AE61" t="str">
        <f t="shared" si="10"/>
        <v>Clean</v>
      </c>
      <c r="AF61" t="str">
        <f t="shared" si="3"/>
        <v>Same Day</v>
      </c>
    </row>
    <row r="62" spans="1:32">
      <c r="A62" t="s">
        <v>4238</v>
      </c>
      <c r="B62" s="4">
        <v>45486</v>
      </c>
      <c r="C62" s="4">
        <v>45492</v>
      </c>
      <c r="D62" t="s">
        <v>4239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  <c r="V62" t="str">
        <f t="shared" si="4"/>
        <v>July</v>
      </c>
      <c r="W62" t="str">
        <f t="shared" si="5"/>
        <v>OK</v>
      </c>
      <c r="X62" t="str">
        <f t="shared" si="6"/>
        <v>OK</v>
      </c>
      <c r="Y62">
        <f t="shared" si="0"/>
        <v>0.2</v>
      </c>
      <c r="Z62">
        <f t="shared" si="1"/>
        <v>1</v>
      </c>
      <c r="AA62">
        <f t="shared" si="7"/>
        <v>180.35400000000004</v>
      </c>
      <c r="AB62">
        <f t="shared" si="8"/>
        <v>661.82400000000007</v>
      </c>
      <c r="AC62">
        <f t="shared" si="9"/>
        <v>6</v>
      </c>
      <c r="AD62" t="str">
        <f t="shared" si="2"/>
        <v>East</v>
      </c>
      <c r="AE62" t="str">
        <f t="shared" si="10"/>
        <v>Clean</v>
      </c>
      <c r="AF62" t="str">
        <f t="shared" si="3"/>
        <v>Same Day</v>
      </c>
    </row>
    <row r="63" spans="1:32">
      <c r="A63" t="s">
        <v>4240</v>
      </c>
      <c r="B63" s="4">
        <v>45398</v>
      </c>
      <c r="C63" s="4">
        <v>45398</v>
      </c>
      <c r="D63" t="s">
        <v>4241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  <c r="V63" t="str">
        <f t="shared" si="4"/>
        <v>April</v>
      </c>
      <c r="W63" s="5" t="str">
        <f t="shared" si="5"/>
        <v>Invalid</v>
      </c>
      <c r="X63" t="str">
        <f t="shared" si="6"/>
        <v>OK</v>
      </c>
      <c r="Y63">
        <f t="shared" si="0"/>
        <v>0</v>
      </c>
      <c r="Z63">
        <f t="shared" si="1"/>
        <v>1</v>
      </c>
      <c r="AA63">
        <f t="shared" si="7"/>
        <v>198.34000000000003</v>
      </c>
      <c r="AB63">
        <f t="shared" si="8"/>
        <v>949.59</v>
      </c>
      <c r="AC63">
        <f t="shared" si="9"/>
        <v>0</v>
      </c>
      <c r="AD63" t="str">
        <f t="shared" si="2"/>
        <v>East</v>
      </c>
      <c r="AE63" t="str">
        <f t="shared" si="10"/>
        <v>Clean</v>
      </c>
      <c r="AF63" t="str">
        <f t="shared" si="3"/>
        <v>Standard Class</v>
      </c>
    </row>
    <row r="64" spans="1:32">
      <c r="A64" t="s">
        <v>4242</v>
      </c>
      <c r="B64" s="4">
        <v>45595</v>
      </c>
      <c r="C64" s="4">
        <v>45598</v>
      </c>
      <c r="D64" t="s">
        <v>4243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  <c r="V64" t="str">
        <f t="shared" si="4"/>
        <v>November</v>
      </c>
      <c r="W64" t="str">
        <f t="shared" si="5"/>
        <v>OK</v>
      </c>
      <c r="X64" t="str">
        <f t="shared" si="6"/>
        <v>OK</v>
      </c>
      <c r="Y64">
        <f t="shared" si="0"/>
        <v>0.2</v>
      </c>
      <c r="Z64">
        <f t="shared" si="1"/>
        <v>1</v>
      </c>
      <c r="AA64">
        <f t="shared" si="7"/>
        <v>8333.9380000000019</v>
      </c>
      <c r="AB64">
        <f t="shared" si="8"/>
        <v>21904.488000000001</v>
      </c>
      <c r="AC64">
        <f t="shared" si="9"/>
        <v>3</v>
      </c>
      <c r="AD64" t="str">
        <f t="shared" si="2"/>
        <v>North</v>
      </c>
      <c r="AE64" t="str">
        <f t="shared" si="10"/>
        <v>Clean</v>
      </c>
      <c r="AF64" t="str">
        <f t="shared" si="3"/>
        <v>Standard Class</v>
      </c>
    </row>
    <row r="65" spans="1:32">
      <c r="A65" t="s">
        <v>4244</v>
      </c>
      <c r="B65" s="4">
        <v>45316</v>
      </c>
      <c r="C65" s="4">
        <v>45323</v>
      </c>
      <c r="D65" t="s">
        <v>4245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  <c r="V65" t="str">
        <f t="shared" si="4"/>
        <v>February</v>
      </c>
      <c r="W65" t="str">
        <f t="shared" si="5"/>
        <v>OK</v>
      </c>
      <c r="X65" t="str">
        <f t="shared" si="6"/>
        <v>OK</v>
      </c>
      <c r="Y65">
        <f t="shared" si="0"/>
        <v>0.15</v>
      </c>
      <c r="Z65">
        <f t="shared" si="1"/>
        <v>1</v>
      </c>
      <c r="AA65">
        <f t="shared" si="7"/>
        <v>1787.9589999999998</v>
      </c>
      <c r="AB65">
        <f t="shared" si="8"/>
        <v>4815.7089999999998</v>
      </c>
      <c r="AC65">
        <f t="shared" si="9"/>
        <v>7</v>
      </c>
      <c r="AD65" t="str">
        <f t="shared" si="2"/>
        <v>North</v>
      </c>
      <c r="AE65" t="str">
        <f t="shared" si="10"/>
        <v>Clean</v>
      </c>
      <c r="AF65" t="str">
        <f t="shared" si="3"/>
        <v>Same Day</v>
      </c>
    </row>
    <row r="66" spans="1:32">
      <c r="A66" t="s">
        <v>4246</v>
      </c>
      <c r="B66" s="4">
        <v>45649</v>
      </c>
      <c r="C66" s="4">
        <v>45655</v>
      </c>
      <c r="D66" t="s">
        <v>4247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  <c r="V66" t="str">
        <f t="shared" si="4"/>
        <v>December</v>
      </c>
      <c r="W66" t="str">
        <f t="shared" si="5"/>
        <v>OK</v>
      </c>
      <c r="X66" t="str">
        <f t="shared" si="6"/>
        <v>OK</v>
      </c>
      <c r="Y66">
        <f t="shared" ref="Y66:Y129" si="11">IF(P66 ="",0,P66)</f>
        <v>0</v>
      </c>
      <c r="Z66">
        <f t="shared" ref="Z66:Z129" si="12">COUNTIF(A:A,A66)</f>
        <v>1</v>
      </c>
      <c r="AA66">
        <f t="shared" si="7"/>
        <v>767.24999999999955</v>
      </c>
      <c r="AB66">
        <f t="shared" si="8"/>
        <v>3134.8799999999997</v>
      </c>
      <c r="AC66">
        <f t="shared" si="9"/>
        <v>6</v>
      </c>
      <c r="AD66" t="str">
        <f t="shared" ref="AD66:AD129" si="13">IF(G66="","Unknown",G66)</f>
        <v>East</v>
      </c>
      <c r="AE66" t="str">
        <f t="shared" si="10"/>
        <v>Clean</v>
      </c>
      <c r="AF66" t="str">
        <f t="shared" ref="AF66:AF129" si="14">IF(M66="","Unknown",M66)</f>
        <v>First Class</v>
      </c>
    </row>
    <row r="67" spans="1:32">
      <c r="A67" t="s">
        <v>4248</v>
      </c>
      <c r="B67" s="4">
        <v>45404</v>
      </c>
      <c r="C67" s="4">
        <v>45409</v>
      </c>
      <c r="D67" t="s">
        <v>4249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  <c r="V67" t="str">
        <f t="shared" ref="V67:V130" si="15">TEXT(C67,"MMMM")</f>
        <v>April</v>
      </c>
      <c r="W67" t="str">
        <f t="shared" ref="W67:W130" si="16">IF(B67&lt;C67,"OK","Invalid")</f>
        <v>OK</v>
      </c>
      <c r="X67" t="str">
        <f t="shared" ref="X67:X130" si="17">IF(P67&lt;0,"Negative Discount","OK")</f>
        <v>OK</v>
      </c>
      <c r="Y67">
        <f t="shared" si="11"/>
        <v>0.05</v>
      </c>
      <c r="Z67">
        <f t="shared" si="12"/>
        <v>1</v>
      </c>
      <c r="AA67">
        <f t="shared" ref="AA67:AA130" si="18">AB67-R67</f>
        <v>1437.2604999999994</v>
      </c>
      <c r="AB67">
        <f t="shared" ref="AB67:AB130" si="19">N67*O67*(1-Y67)</f>
        <v>4066.1804999999995</v>
      </c>
      <c r="AC67">
        <f t="shared" ref="AC67:AC130" si="20">C67-B67</f>
        <v>5</v>
      </c>
      <c r="AD67" t="str">
        <f t="shared" si="13"/>
        <v>West</v>
      </c>
      <c r="AE67" t="str">
        <f t="shared" ref="AE67:AE130" si="21">IF(OR(P67&lt;0,P67&gt;1,C67&lt;B67),"Invalid",IF(OR(G67="Unknown",M67="Unknown"),"Warning","Clean"))</f>
        <v>Clean</v>
      </c>
      <c r="AF67" t="str">
        <f t="shared" si="14"/>
        <v>Second Class</v>
      </c>
    </row>
    <row r="68" spans="1:32">
      <c r="A68" t="s">
        <v>4250</v>
      </c>
      <c r="B68" s="4">
        <v>45897</v>
      </c>
      <c r="C68" s="4">
        <v>45901</v>
      </c>
      <c r="D68" t="s">
        <v>4251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  <c r="V68" t="str">
        <f t="shared" si="15"/>
        <v>September</v>
      </c>
      <c r="W68" t="str">
        <f t="shared" si="16"/>
        <v>OK</v>
      </c>
      <c r="X68" t="str">
        <f t="shared" si="17"/>
        <v>OK</v>
      </c>
      <c r="Y68">
        <f t="shared" si="11"/>
        <v>0.05</v>
      </c>
      <c r="Z68">
        <f t="shared" si="12"/>
        <v>1</v>
      </c>
      <c r="AA68">
        <f t="shared" si="18"/>
        <v>2421.7689999999993</v>
      </c>
      <c r="AB68">
        <f t="shared" si="19"/>
        <v>7032.1089999999995</v>
      </c>
      <c r="AC68">
        <f t="shared" si="20"/>
        <v>4</v>
      </c>
      <c r="AD68" t="str">
        <f t="shared" si="13"/>
        <v>South</v>
      </c>
      <c r="AE68" t="str">
        <f t="shared" si="21"/>
        <v>Clean</v>
      </c>
      <c r="AF68" t="str">
        <f t="shared" si="14"/>
        <v>Same Day</v>
      </c>
    </row>
    <row r="69" spans="1:32">
      <c r="A69" t="s">
        <v>4252</v>
      </c>
      <c r="B69" s="4">
        <v>45718</v>
      </c>
      <c r="C69" s="4">
        <v>45695</v>
      </c>
      <c r="D69" t="s">
        <v>4253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  <c r="V69" t="str">
        <f t="shared" si="15"/>
        <v>February</v>
      </c>
      <c r="W69" s="5" t="str">
        <f t="shared" si="16"/>
        <v>Invalid</v>
      </c>
      <c r="X69" t="str">
        <f t="shared" si="17"/>
        <v>OK</v>
      </c>
      <c r="Y69">
        <f t="shared" si="11"/>
        <v>0.05</v>
      </c>
      <c r="Z69">
        <f t="shared" si="12"/>
        <v>1</v>
      </c>
      <c r="AA69">
        <f t="shared" si="18"/>
        <v>5294.5410000000011</v>
      </c>
      <c r="AB69">
        <f t="shared" si="19"/>
        <v>24002.111000000001</v>
      </c>
      <c r="AC69" s="5">
        <f t="shared" si="20"/>
        <v>-23</v>
      </c>
      <c r="AD69" t="str">
        <f t="shared" si="13"/>
        <v>North</v>
      </c>
      <c r="AE69" t="str">
        <f t="shared" si="21"/>
        <v>Invalid</v>
      </c>
      <c r="AF69" t="str">
        <f t="shared" si="14"/>
        <v>First Class</v>
      </c>
    </row>
    <row r="70" spans="1:32">
      <c r="A70" t="s">
        <v>4254</v>
      </c>
      <c r="B70" s="4">
        <v>45576</v>
      </c>
      <c r="C70" s="4">
        <v>45609</v>
      </c>
      <c r="D70" t="s">
        <v>4255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  <c r="V70" t="str">
        <f t="shared" si="15"/>
        <v>November</v>
      </c>
      <c r="W70" t="str">
        <f t="shared" si="16"/>
        <v>OK</v>
      </c>
      <c r="X70" t="str">
        <f t="shared" si="17"/>
        <v>OK</v>
      </c>
      <c r="Y70">
        <f t="shared" si="11"/>
        <v>0</v>
      </c>
      <c r="Z70">
        <f t="shared" si="12"/>
        <v>1</v>
      </c>
      <c r="AA70">
        <f t="shared" si="18"/>
        <v>8937.4199999999983</v>
      </c>
      <c r="AB70">
        <f t="shared" si="19"/>
        <v>19900.079999999998</v>
      </c>
      <c r="AC70">
        <f t="shared" si="20"/>
        <v>33</v>
      </c>
      <c r="AD70" t="str">
        <f t="shared" si="13"/>
        <v>East</v>
      </c>
      <c r="AE70" t="str">
        <f t="shared" si="21"/>
        <v>Clean</v>
      </c>
      <c r="AF70" t="str">
        <f t="shared" si="14"/>
        <v>Second Class</v>
      </c>
    </row>
    <row r="71" spans="1:32">
      <c r="A71" t="s">
        <v>4256</v>
      </c>
      <c r="B71" s="4">
        <v>45539</v>
      </c>
      <c r="C71" s="4">
        <v>45396</v>
      </c>
      <c r="D71" t="s">
        <v>4257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  <c r="V71" t="str">
        <f t="shared" si="15"/>
        <v>April</v>
      </c>
      <c r="W71" s="5" t="str">
        <f t="shared" si="16"/>
        <v>Invalid</v>
      </c>
      <c r="X71" t="str">
        <f t="shared" si="17"/>
        <v>OK</v>
      </c>
      <c r="Y71">
        <f t="shared" si="11"/>
        <v>0.1</v>
      </c>
      <c r="Z71">
        <f t="shared" si="12"/>
        <v>1</v>
      </c>
      <c r="AA71">
        <f t="shared" si="18"/>
        <v>3240.0869999999995</v>
      </c>
      <c r="AB71">
        <f t="shared" si="19"/>
        <v>21527.667000000001</v>
      </c>
      <c r="AC71" s="5">
        <f t="shared" si="20"/>
        <v>-143</v>
      </c>
      <c r="AD71" t="str">
        <f t="shared" si="13"/>
        <v>West</v>
      </c>
      <c r="AE71" t="str">
        <f t="shared" si="21"/>
        <v>Invalid</v>
      </c>
      <c r="AF71" t="str">
        <f t="shared" si="14"/>
        <v>Same Day</v>
      </c>
    </row>
    <row r="72" spans="1:32">
      <c r="A72" t="s">
        <v>4258</v>
      </c>
      <c r="B72" s="4">
        <v>45891</v>
      </c>
      <c r="C72" s="4">
        <v>45896</v>
      </c>
      <c r="D72" t="s">
        <v>4259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  <c r="V72" t="str">
        <f t="shared" si="15"/>
        <v>August</v>
      </c>
      <c r="W72" t="str">
        <f t="shared" si="16"/>
        <v>OK</v>
      </c>
      <c r="X72" t="str">
        <f t="shared" si="17"/>
        <v>OK</v>
      </c>
      <c r="Y72">
        <f t="shared" si="11"/>
        <v>0.15</v>
      </c>
      <c r="Z72">
        <f t="shared" si="12"/>
        <v>1</v>
      </c>
      <c r="AA72">
        <f t="shared" si="18"/>
        <v>469.779</v>
      </c>
      <c r="AB72">
        <f t="shared" si="19"/>
        <v>1539.979</v>
      </c>
      <c r="AC72">
        <f t="shared" si="20"/>
        <v>5</v>
      </c>
      <c r="AD72" t="str">
        <f t="shared" si="13"/>
        <v>South</v>
      </c>
      <c r="AE72" t="str">
        <f t="shared" si="21"/>
        <v>Clean</v>
      </c>
      <c r="AF72" t="str">
        <f t="shared" si="14"/>
        <v>First Class</v>
      </c>
    </row>
    <row r="73" spans="1:32">
      <c r="A73" t="s">
        <v>4260</v>
      </c>
      <c r="B73" s="4">
        <v>45763</v>
      </c>
      <c r="C73" s="4">
        <v>45770</v>
      </c>
      <c r="D73" t="s">
        <v>4261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  <c r="V73" t="str">
        <f t="shared" si="15"/>
        <v>April</v>
      </c>
      <c r="W73" t="str">
        <f t="shared" si="16"/>
        <v>OK</v>
      </c>
      <c r="X73" t="str">
        <f t="shared" si="17"/>
        <v>OK</v>
      </c>
      <c r="Y73">
        <f t="shared" si="11"/>
        <v>0.1</v>
      </c>
      <c r="Z73">
        <f t="shared" si="12"/>
        <v>1</v>
      </c>
      <c r="AA73">
        <f t="shared" si="18"/>
        <v>4500.1680000000006</v>
      </c>
      <c r="AB73">
        <f t="shared" si="19"/>
        <v>10947.528</v>
      </c>
      <c r="AC73">
        <f t="shared" si="20"/>
        <v>7</v>
      </c>
      <c r="AD73" t="str">
        <f t="shared" si="13"/>
        <v>West</v>
      </c>
      <c r="AE73" t="str">
        <f t="shared" si="21"/>
        <v>Clean</v>
      </c>
      <c r="AF73" t="str">
        <f t="shared" si="14"/>
        <v>Standard Class</v>
      </c>
    </row>
    <row r="74" spans="1:32">
      <c r="A74" t="s">
        <v>4262</v>
      </c>
      <c r="B74" s="4">
        <v>45598</v>
      </c>
      <c r="C74" s="4">
        <v>45329</v>
      </c>
      <c r="D74" t="s">
        <v>4263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  <c r="V74" t="str">
        <f t="shared" si="15"/>
        <v>February</v>
      </c>
      <c r="W74" s="5" t="str">
        <f t="shared" si="16"/>
        <v>Invalid</v>
      </c>
      <c r="X74" t="str">
        <f t="shared" si="17"/>
        <v>OK</v>
      </c>
      <c r="Y74">
        <f t="shared" si="11"/>
        <v>0.15</v>
      </c>
      <c r="Z74">
        <f t="shared" si="12"/>
        <v>1</v>
      </c>
      <c r="AA74">
        <f t="shared" si="18"/>
        <v>3571.3964999999989</v>
      </c>
      <c r="AB74">
        <f t="shared" si="19"/>
        <v>13610.446499999998</v>
      </c>
      <c r="AC74" s="5">
        <f t="shared" si="20"/>
        <v>-269</v>
      </c>
      <c r="AD74" t="str">
        <f t="shared" si="13"/>
        <v>South</v>
      </c>
      <c r="AE74" t="str">
        <f t="shared" si="21"/>
        <v>Invalid</v>
      </c>
      <c r="AF74" t="str">
        <f t="shared" si="14"/>
        <v>First Class</v>
      </c>
    </row>
    <row r="75" spans="1:32">
      <c r="A75" t="s">
        <v>4264</v>
      </c>
      <c r="B75" s="4">
        <v>45745</v>
      </c>
      <c r="C75" s="4">
        <v>45720</v>
      </c>
      <c r="D75" t="s">
        <v>4265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  <c r="V75" t="str">
        <f t="shared" si="15"/>
        <v>March</v>
      </c>
      <c r="W75" s="5" t="str">
        <f t="shared" si="16"/>
        <v>Invalid</v>
      </c>
      <c r="X75" t="str">
        <f t="shared" si="17"/>
        <v>OK</v>
      </c>
      <c r="Y75">
        <f t="shared" si="11"/>
        <v>0</v>
      </c>
      <c r="Z75">
        <f t="shared" si="12"/>
        <v>1</v>
      </c>
      <c r="AA75">
        <f t="shared" si="18"/>
        <v>2746.55</v>
      </c>
      <c r="AB75">
        <f t="shared" si="19"/>
        <v>7128.7</v>
      </c>
      <c r="AC75" s="5">
        <f t="shared" si="20"/>
        <v>-25</v>
      </c>
      <c r="AD75" t="str">
        <f t="shared" si="13"/>
        <v>East</v>
      </c>
      <c r="AE75" t="str">
        <f t="shared" si="21"/>
        <v>Invalid</v>
      </c>
      <c r="AF75" t="str">
        <f t="shared" si="14"/>
        <v>First Class</v>
      </c>
    </row>
    <row r="76" spans="1:32">
      <c r="A76" t="s">
        <v>4266</v>
      </c>
      <c r="B76" s="4">
        <v>45715</v>
      </c>
      <c r="C76" s="4">
        <v>45717</v>
      </c>
      <c r="D76" t="s">
        <v>4267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  <c r="V76" t="str">
        <f t="shared" si="15"/>
        <v>March</v>
      </c>
      <c r="W76" t="str">
        <f t="shared" si="16"/>
        <v>OK</v>
      </c>
      <c r="X76" t="str">
        <f t="shared" si="17"/>
        <v>OK</v>
      </c>
      <c r="Y76">
        <f t="shared" si="11"/>
        <v>0</v>
      </c>
      <c r="Z76">
        <f t="shared" si="12"/>
        <v>1</v>
      </c>
      <c r="AA76">
        <f t="shared" si="18"/>
        <v>638.76000000000022</v>
      </c>
      <c r="AB76">
        <f t="shared" si="19"/>
        <v>3309.84</v>
      </c>
      <c r="AC76">
        <f t="shared" si="20"/>
        <v>2</v>
      </c>
      <c r="AD76" t="str">
        <f t="shared" si="13"/>
        <v>East</v>
      </c>
      <c r="AE76" t="str">
        <f t="shared" si="21"/>
        <v>Clean</v>
      </c>
      <c r="AF76" t="str">
        <f t="shared" si="14"/>
        <v>Standard Class</v>
      </c>
    </row>
    <row r="77" spans="1:32">
      <c r="A77" t="s">
        <v>4268</v>
      </c>
      <c r="B77" s="4">
        <v>45891</v>
      </c>
      <c r="C77" s="4">
        <v>45896</v>
      </c>
      <c r="D77" t="s">
        <v>4269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  <c r="V77" t="str">
        <f t="shared" si="15"/>
        <v>August</v>
      </c>
      <c r="W77" t="str">
        <f t="shared" si="16"/>
        <v>OK</v>
      </c>
      <c r="X77" t="str">
        <f t="shared" si="17"/>
        <v>OK</v>
      </c>
      <c r="Y77">
        <f t="shared" si="11"/>
        <v>0.2</v>
      </c>
      <c r="Z77">
        <f t="shared" si="12"/>
        <v>1</v>
      </c>
      <c r="AA77">
        <f t="shared" si="18"/>
        <v>2516.3880000000008</v>
      </c>
      <c r="AB77">
        <f t="shared" si="19"/>
        <v>7907.5680000000011</v>
      </c>
      <c r="AC77">
        <f t="shared" si="20"/>
        <v>5</v>
      </c>
      <c r="AD77" t="str">
        <f t="shared" si="13"/>
        <v>East</v>
      </c>
      <c r="AE77" t="str">
        <f t="shared" si="21"/>
        <v>Clean</v>
      </c>
      <c r="AF77" t="str">
        <f t="shared" si="14"/>
        <v>First Class</v>
      </c>
    </row>
    <row r="78" spans="1:32">
      <c r="A78" t="s">
        <v>4270</v>
      </c>
      <c r="B78" s="4">
        <v>45362</v>
      </c>
      <c r="C78" s="4">
        <v>45607</v>
      </c>
      <c r="D78" t="s">
        <v>4271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  <c r="V78" t="str">
        <f t="shared" si="15"/>
        <v>November</v>
      </c>
      <c r="W78" t="str">
        <f t="shared" si="16"/>
        <v>OK</v>
      </c>
      <c r="X78" t="str">
        <f t="shared" si="17"/>
        <v>OK</v>
      </c>
      <c r="Y78">
        <f t="shared" si="11"/>
        <v>0</v>
      </c>
      <c r="Z78">
        <f t="shared" si="12"/>
        <v>1</v>
      </c>
      <c r="AA78">
        <f t="shared" si="18"/>
        <v>2601.8399999999992</v>
      </c>
      <c r="AB78">
        <f t="shared" si="19"/>
        <v>10218.81</v>
      </c>
      <c r="AC78">
        <f t="shared" si="20"/>
        <v>245</v>
      </c>
      <c r="AD78" t="str">
        <f t="shared" si="13"/>
        <v>East</v>
      </c>
      <c r="AE78" t="str">
        <f t="shared" si="21"/>
        <v>Clean</v>
      </c>
      <c r="AF78" t="str">
        <f t="shared" si="14"/>
        <v>Second Class</v>
      </c>
    </row>
    <row r="79" spans="1:32">
      <c r="A79" t="s">
        <v>4272</v>
      </c>
      <c r="B79" s="4">
        <v>45876</v>
      </c>
      <c r="C79" s="4">
        <v>45850</v>
      </c>
      <c r="D79" t="s">
        <v>4273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  <c r="V79" t="str">
        <f t="shared" si="15"/>
        <v>July</v>
      </c>
      <c r="W79" s="5" t="str">
        <f t="shared" si="16"/>
        <v>Invalid</v>
      </c>
      <c r="X79" t="str">
        <f t="shared" si="17"/>
        <v>OK</v>
      </c>
      <c r="Y79">
        <f t="shared" si="11"/>
        <v>0.15</v>
      </c>
      <c r="Z79">
        <f t="shared" si="12"/>
        <v>1</v>
      </c>
      <c r="AA79">
        <f t="shared" si="18"/>
        <v>971.69999999999982</v>
      </c>
      <c r="AB79">
        <f t="shared" si="19"/>
        <v>2194.87</v>
      </c>
      <c r="AC79" s="5">
        <f t="shared" si="20"/>
        <v>-26</v>
      </c>
      <c r="AD79" t="str">
        <f t="shared" si="13"/>
        <v>North</v>
      </c>
      <c r="AE79" t="str">
        <f t="shared" si="21"/>
        <v>Invalid</v>
      </c>
      <c r="AF79" t="str">
        <f t="shared" si="14"/>
        <v>Standard Class</v>
      </c>
    </row>
    <row r="80" spans="1:32">
      <c r="A80" t="s">
        <v>4274</v>
      </c>
      <c r="B80" s="4">
        <v>45854</v>
      </c>
      <c r="C80" s="4">
        <v>45859</v>
      </c>
      <c r="D80" t="s">
        <v>4275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  <c r="V80" t="str">
        <f t="shared" si="15"/>
        <v>July</v>
      </c>
      <c r="W80" t="str">
        <f t="shared" si="16"/>
        <v>OK</v>
      </c>
      <c r="X80" t="str">
        <f t="shared" si="17"/>
        <v>OK</v>
      </c>
      <c r="Y80">
        <f t="shared" si="11"/>
        <v>0.15</v>
      </c>
      <c r="Z80">
        <f t="shared" si="12"/>
        <v>1</v>
      </c>
      <c r="AA80">
        <f t="shared" si="18"/>
        <v>2271.567500000001</v>
      </c>
      <c r="AB80">
        <f t="shared" si="19"/>
        <v>9050.4175000000014</v>
      </c>
      <c r="AC80">
        <f t="shared" si="20"/>
        <v>5</v>
      </c>
      <c r="AD80" t="str">
        <f t="shared" si="13"/>
        <v>East</v>
      </c>
      <c r="AE80" t="str">
        <f t="shared" si="21"/>
        <v>Clean</v>
      </c>
      <c r="AF80" t="str">
        <f t="shared" si="14"/>
        <v>First Class</v>
      </c>
    </row>
    <row r="81" spans="1:32">
      <c r="A81" t="s">
        <v>4276</v>
      </c>
      <c r="B81" s="4">
        <v>45927</v>
      </c>
      <c r="C81" s="4">
        <v>45933</v>
      </c>
      <c r="D81" t="s">
        <v>4277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  <c r="V81" t="str">
        <f t="shared" si="15"/>
        <v>October</v>
      </c>
      <c r="W81" t="str">
        <f t="shared" si="16"/>
        <v>OK</v>
      </c>
      <c r="X81" t="str">
        <f t="shared" si="17"/>
        <v>OK</v>
      </c>
      <c r="Y81">
        <f t="shared" si="11"/>
        <v>0.1</v>
      </c>
      <c r="Z81">
        <f t="shared" si="12"/>
        <v>1</v>
      </c>
      <c r="AA81">
        <f t="shared" si="18"/>
        <v>8684.052000000007</v>
      </c>
      <c r="AB81">
        <f t="shared" si="19"/>
        <v>33465.312000000005</v>
      </c>
      <c r="AC81">
        <f t="shared" si="20"/>
        <v>6</v>
      </c>
      <c r="AD81" t="str">
        <f t="shared" si="13"/>
        <v>South</v>
      </c>
      <c r="AE81" t="str">
        <f t="shared" si="21"/>
        <v>Clean</v>
      </c>
      <c r="AF81" t="str">
        <f t="shared" si="14"/>
        <v>Same Day</v>
      </c>
    </row>
    <row r="82" spans="1:32">
      <c r="A82" t="s">
        <v>4278</v>
      </c>
      <c r="B82" s="4">
        <v>45573</v>
      </c>
      <c r="C82" s="4">
        <v>45518</v>
      </c>
      <c r="D82" t="s">
        <v>4279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  <c r="V82" t="str">
        <f t="shared" si="15"/>
        <v>August</v>
      </c>
      <c r="W82" s="5" t="str">
        <f t="shared" si="16"/>
        <v>Invalid</v>
      </c>
      <c r="X82" t="str">
        <f t="shared" si="17"/>
        <v>OK</v>
      </c>
      <c r="Y82">
        <f t="shared" si="11"/>
        <v>0.1</v>
      </c>
      <c r="Z82">
        <f t="shared" si="12"/>
        <v>1</v>
      </c>
      <c r="AA82">
        <f t="shared" si="18"/>
        <v>1761.0219999999999</v>
      </c>
      <c r="AB82">
        <f t="shared" si="19"/>
        <v>4256.3519999999999</v>
      </c>
      <c r="AC82" s="5">
        <f t="shared" si="20"/>
        <v>-55</v>
      </c>
      <c r="AD82" t="str">
        <f t="shared" si="13"/>
        <v>North</v>
      </c>
      <c r="AE82" t="str">
        <f t="shared" si="21"/>
        <v>Invalid</v>
      </c>
      <c r="AF82" t="str">
        <f t="shared" si="14"/>
        <v>Second Class</v>
      </c>
    </row>
    <row r="83" spans="1:32">
      <c r="A83" t="s">
        <v>4280</v>
      </c>
      <c r="B83" s="4">
        <v>45732</v>
      </c>
      <c r="C83" s="4">
        <v>45733</v>
      </c>
      <c r="D83" t="s">
        <v>4281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  <c r="V83" t="str">
        <f t="shared" si="15"/>
        <v>March</v>
      </c>
      <c r="W83" t="str">
        <f t="shared" si="16"/>
        <v>OK</v>
      </c>
      <c r="X83" t="str">
        <f t="shared" si="17"/>
        <v>OK</v>
      </c>
      <c r="Y83">
        <f t="shared" si="11"/>
        <v>0</v>
      </c>
      <c r="Z83">
        <f t="shared" si="12"/>
        <v>1</v>
      </c>
      <c r="AA83">
        <f t="shared" si="18"/>
        <v>2432.3100000000004</v>
      </c>
      <c r="AB83">
        <f t="shared" si="19"/>
        <v>5525.7300000000005</v>
      </c>
      <c r="AC83">
        <f t="shared" si="20"/>
        <v>1</v>
      </c>
      <c r="AD83" t="str">
        <f t="shared" si="13"/>
        <v>West</v>
      </c>
      <c r="AE83" t="str">
        <f t="shared" si="21"/>
        <v>Clean</v>
      </c>
      <c r="AF83" t="str">
        <f t="shared" si="14"/>
        <v>Same Day</v>
      </c>
    </row>
    <row r="84" spans="1:32">
      <c r="A84" t="s">
        <v>4282</v>
      </c>
      <c r="B84" s="4">
        <v>45359</v>
      </c>
      <c r="C84" s="4">
        <v>45508</v>
      </c>
      <c r="D84" t="s">
        <v>4283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  <c r="V84" t="str">
        <f t="shared" si="15"/>
        <v>August</v>
      </c>
      <c r="W84" t="str">
        <f t="shared" si="16"/>
        <v>OK</v>
      </c>
      <c r="X84" t="str">
        <f t="shared" si="17"/>
        <v>OK</v>
      </c>
      <c r="Y84">
        <f t="shared" si="11"/>
        <v>0</v>
      </c>
      <c r="Z84">
        <f t="shared" si="12"/>
        <v>1</v>
      </c>
      <c r="AA84">
        <f t="shared" si="18"/>
        <v>2247.5300000000002</v>
      </c>
      <c r="AB84">
        <f t="shared" si="19"/>
        <v>6010.38</v>
      </c>
      <c r="AC84">
        <f t="shared" si="20"/>
        <v>149</v>
      </c>
      <c r="AD84" t="str">
        <f t="shared" si="13"/>
        <v>North</v>
      </c>
      <c r="AE84" t="str">
        <f t="shared" si="21"/>
        <v>Clean</v>
      </c>
      <c r="AF84" t="str">
        <f t="shared" si="14"/>
        <v>Second Class</v>
      </c>
    </row>
    <row r="85" spans="1:32">
      <c r="A85" t="s">
        <v>4284</v>
      </c>
      <c r="B85" s="4">
        <v>45591</v>
      </c>
      <c r="C85" s="4">
        <v>45594</v>
      </c>
      <c r="D85" t="s">
        <v>4285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  <c r="V85" t="str">
        <f t="shared" si="15"/>
        <v>October</v>
      </c>
      <c r="W85" t="str">
        <f t="shared" si="16"/>
        <v>OK</v>
      </c>
      <c r="X85" t="str">
        <f t="shared" si="17"/>
        <v>OK</v>
      </c>
      <c r="Y85">
        <f t="shared" si="11"/>
        <v>0.2</v>
      </c>
      <c r="Z85">
        <f t="shared" si="12"/>
        <v>1</v>
      </c>
      <c r="AA85">
        <f t="shared" si="18"/>
        <v>273.90800000000013</v>
      </c>
      <c r="AB85">
        <f t="shared" si="19"/>
        <v>948.52800000000013</v>
      </c>
      <c r="AC85">
        <f t="shared" si="20"/>
        <v>3</v>
      </c>
      <c r="AD85" t="str">
        <f t="shared" si="13"/>
        <v>West</v>
      </c>
      <c r="AE85" t="str">
        <f t="shared" si="21"/>
        <v>Clean</v>
      </c>
      <c r="AF85" t="str">
        <f t="shared" si="14"/>
        <v>Second Class</v>
      </c>
    </row>
    <row r="86" spans="1:32">
      <c r="A86" t="s">
        <v>4286</v>
      </c>
      <c r="B86" s="4">
        <v>45301</v>
      </c>
      <c r="C86" s="4">
        <v>45568</v>
      </c>
      <c r="D86" t="s">
        <v>4287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  <c r="V86" t="str">
        <f t="shared" si="15"/>
        <v>October</v>
      </c>
      <c r="W86" t="str">
        <f t="shared" si="16"/>
        <v>OK</v>
      </c>
      <c r="X86" t="str">
        <f t="shared" si="17"/>
        <v>OK</v>
      </c>
      <c r="Y86">
        <f t="shared" si="11"/>
        <v>0.2</v>
      </c>
      <c r="Z86">
        <f t="shared" si="12"/>
        <v>1</v>
      </c>
      <c r="AA86">
        <f t="shared" si="18"/>
        <v>651.904</v>
      </c>
      <c r="AB86">
        <f t="shared" si="19"/>
        <v>2737.3440000000001</v>
      </c>
      <c r="AC86">
        <f t="shared" si="20"/>
        <v>267</v>
      </c>
      <c r="AD86" t="str">
        <f t="shared" si="13"/>
        <v>South</v>
      </c>
      <c r="AE86" t="str">
        <f t="shared" si="21"/>
        <v>Clean</v>
      </c>
      <c r="AF86" t="str">
        <f t="shared" si="14"/>
        <v>Second Class</v>
      </c>
    </row>
    <row r="87" spans="1:32">
      <c r="A87" t="s">
        <v>4288</v>
      </c>
      <c r="B87" s="4">
        <v>45503</v>
      </c>
      <c r="C87" s="4">
        <v>45420</v>
      </c>
      <c r="D87" t="s">
        <v>4289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  <c r="V87" t="str">
        <f t="shared" si="15"/>
        <v>May</v>
      </c>
      <c r="W87" s="5" t="str">
        <f t="shared" si="16"/>
        <v>Invalid</v>
      </c>
      <c r="X87" t="str">
        <f t="shared" si="17"/>
        <v>OK</v>
      </c>
      <c r="Y87">
        <f t="shared" si="11"/>
        <v>0</v>
      </c>
      <c r="Z87">
        <f t="shared" si="12"/>
        <v>1</v>
      </c>
      <c r="AA87">
        <f t="shared" si="18"/>
        <v>264.64999999999998</v>
      </c>
      <c r="AB87">
        <f t="shared" si="19"/>
        <v>608.64</v>
      </c>
      <c r="AC87" s="5">
        <f t="shared" si="20"/>
        <v>-83</v>
      </c>
      <c r="AD87" t="str">
        <f t="shared" si="13"/>
        <v>North</v>
      </c>
      <c r="AE87" t="str">
        <f t="shared" si="21"/>
        <v>Invalid</v>
      </c>
      <c r="AF87" t="str">
        <f t="shared" si="14"/>
        <v>Standard Class</v>
      </c>
    </row>
    <row r="88" spans="1:32">
      <c r="A88" t="s">
        <v>4290</v>
      </c>
      <c r="B88" s="4">
        <v>45298</v>
      </c>
      <c r="C88" s="4">
        <v>45474</v>
      </c>
      <c r="D88" t="s">
        <v>4291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  <c r="V88" t="str">
        <f t="shared" si="15"/>
        <v>July</v>
      </c>
      <c r="W88" t="str">
        <f t="shared" si="16"/>
        <v>OK</v>
      </c>
      <c r="X88" t="str">
        <f t="shared" si="17"/>
        <v>OK</v>
      </c>
      <c r="Y88">
        <f t="shared" si="11"/>
        <v>0.1</v>
      </c>
      <c r="Z88">
        <f t="shared" si="12"/>
        <v>1</v>
      </c>
      <c r="AA88">
        <f t="shared" si="18"/>
        <v>894.31600000000026</v>
      </c>
      <c r="AB88">
        <f t="shared" si="19"/>
        <v>2390.2560000000003</v>
      </c>
      <c r="AC88">
        <f t="shared" si="20"/>
        <v>176</v>
      </c>
      <c r="AD88" t="str">
        <f t="shared" si="13"/>
        <v>North</v>
      </c>
      <c r="AE88" t="str">
        <f t="shared" si="21"/>
        <v>Clean</v>
      </c>
      <c r="AF88" t="str">
        <f t="shared" si="14"/>
        <v>Second Class</v>
      </c>
    </row>
    <row r="89" spans="1:32">
      <c r="A89" t="s">
        <v>4292</v>
      </c>
      <c r="B89" s="4">
        <v>45506</v>
      </c>
      <c r="C89" s="4">
        <v>45507</v>
      </c>
      <c r="D89" t="s">
        <v>4293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  <c r="V89" t="str">
        <f t="shared" si="15"/>
        <v>August</v>
      </c>
      <c r="W89" t="str">
        <f t="shared" si="16"/>
        <v>OK</v>
      </c>
      <c r="X89" t="str">
        <f t="shared" si="17"/>
        <v>OK</v>
      </c>
      <c r="Y89">
        <f t="shared" si="11"/>
        <v>0</v>
      </c>
      <c r="Z89">
        <f t="shared" si="12"/>
        <v>1</v>
      </c>
      <c r="AA89">
        <f t="shared" si="18"/>
        <v>7925.6499999999978</v>
      </c>
      <c r="AB89">
        <f t="shared" si="19"/>
        <v>23416.539999999997</v>
      </c>
      <c r="AC89">
        <f t="shared" si="20"/>
        <v>1</v>
      </c>
      <c r="AD89" t="str">
        <f t="shared" si="13"/>
        <v>East</v>
      </c>
      <c r="AE89" t="str">
        <f t="shared" si="21"/>
        <v>Clean</v>
      </c>
      <c r="AF89" t="str">
        <f t="shared" si="14"/>
        <v>Standard Class</v>
      </c>
    </row>
    <row r="90" spans="1:32">
      <c r="A90" t="s">
        <v>4294</v>
      </c>
      <c r="B90" s="4">
        <v>45375</v>
      </c>
      <c r="C90" s="4">
        <v>45378</v>
      </c>
      <c r="D90" t="s">
        <v>4295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  <c r="V90" t="str">
        <f t="shared" si="15"/>
        <v>March</v>
      </c>
      <c r="W90" t="str">
        <f t="shared" si="16"/>
        <v>OK</v>
      </c>
      <c r="X90" t="str">
        <f t="shared" si="17"/>
        <v>OK</v>
      </c>
      <c r="Y90">
        <f t="shared" si="11"/>
        <v>0.05</v>
      </c>
      <c r="Z90">
        <f t="shared" si="12"/>
        <v>1</v>
      </c>
      <c r="AA90">
        <f t="shared" si="18"/>
        <v>895.14499999999953</v>
      </c>
      <c r="AB90">
        <f t="shared" si="19"/>
        <v>6241.0249999999996</v>
      </c>
      <c r="AC90">
        <f t="shared" si="20"/>
        <v>3</v>
      </c>
      <c r="AD90" t="str">
        <f t="shared" si="13"/>
        <v>West</v>
      </c>
      <c r="AE90" t="str">
        <f t="shared" si="21"/>
        <v>Clean</v>
      </c>
      <c r="AF90" t="str">
        <f t="shared" si="14"/>
        <v>Standard Class</v>
      </c>
    </row>
    <row r="91" spans="1:32">
      <c r="A91" t="s">
        <v>4296</v>
      </c>
      <c r="B91" s="4">
        <v>45421</v>
      </c>
      <c r="C91" s="4">
        <v>45540</v>
      </c>
      <c r="D91" t="s">
        <v>4297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  <c r="V91" t="str">
        <f t="shared" si="15"/>
        <v>September</v>
      </c>
      <c r="W91" t="str">
        <f t="shared" si="16"/>
        <v>OK</v>
      </c>
      <c r="X91" t="str">
        <f t="shared" si="17"/>
        <v>OK</v>
      </c>
      <c r="Y91">
        <f t="shared" si="11"/>
        <v>0.2</v>
      </c>
      <c r="Z91">
        <f t="shared" si="12"/>
        <v>1</v>
      </c>
      <c r="AA91">
        <f t="shared" si="18"/>
        <v>9004.9740000000038</v>
      </c>
      <c r="AB91">
        <f t="shared" si="19"/>
        <v>21062.104000000003</v>
      </c>
      <c r="AC91">
        <f t="shared" si="20"/>
        <v>119</v>
      </c>
      <c r="AD91" t="str">
        <f t="shared" si="13"/>
        <v>South</v>
      </c>
      <c r="AE91" t="str">
        <f t="shared" si="21"/>
        <v>Clean</v>
      </c>
      <c r="AF91" t="str">
        <f t="shared" si="14"/>
        <v>Standard Class</v>
      </c>
    </row>
    <row r="92" spans="1:32">
      <c r="A92" t="s">
        <v>4298</v>
      </c>
      <c r="B92" s="4">
        <v>45893</v>
      </c>
      <c r="C92" s="4">
        <v>45898</v>
      </c>
      <c r="D92" t="s">
        <v>4299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s="6" t="s">
        <v>35</v>
      </c>
      <c r="V92" t="str">
        <f t="shared" si="15"/>
        <v>August</v>
      </c>
      <c r="W92" t="str">
        <f t="shared" si="16"/>
        <v>OK</v>
      </c>
      <c r="X92" t="str">
        <f t="shared" si="17"/>
        <v>OK</v>
      </c>
      <c r="Y92">
        <f t="shared" si="11"/>
        <v>0.15</v>
      </c>
      <c r="Z92" s="5">
        <f t="shared" si="12"/>
        <v>2</v>
      </c>
      <c r="AA92">
        <f t="shared" si="18"/>
        <v>3858.8180000000002</v>
      </c>
      <c r="AB92">
        <f t="shared" si="19"/>
        <v>9445.098</v>
      </c>
      <c r="AC92">
        <f t="shared" si="20"/>
        <v>5</v>
      </c>
      <c r="AD92" t="str">
        <f t="shared" si="13"/>
        <v>East</v>
      </c>
      <c r="AE92" t="str">
        <f t="shared" si="21"/>
        <v>Clean</v>
      </c>
      <c r="AF92" t="str">
        <f t="shared" si="14"/>
        <v>First Class</v>
      </c>
    </row>
    <row r="93" spans="1:32">
      <c r="A93" t="s">
        <v>4300</v>
      </c>
      <c r="B93" s="4">
        <v>45718</v>
      </c>
      <c r="C93" s="4">
        <v>45872</v>
      </c>
      <c r="D93" t="s">
        <v>4301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  <c r="V93" t="str">
        <f t="shared" si="15"/>
        <v>August</v>
      </c>
      <c r="W93" t="str">
        <f t="shared" si="16"/>
        <v>OK</v>
      </c>
      <c r="X93" t="str">
        <f t="shared" si="17"/>
        <v>OK</v>
      </c>
      <c r="Y93">
        <f t="shared" si="11"/>
        <v>0</v>
      </c>
      <c r="Z93">
        <f t="shared" si="12"/>
        <v>1</v>
      </c>
      <c r="AA93">
        <f t="shared" si="18"/>
        <v>888.77</v>
      </c>
      <c r="AB93">
        <f t="shared" si="19"/>
        <v>2427.12</v>
      </c>
      <c r="AC93">
        <f t="shared" si="20"/>
        <v>154</v>
      </c>
      <c r="AD93" t="str">
        <f t="shared" si="13"/>
        <v>West</v>
      </c>
      <c r="AE93" t="str">
        <f t="shared" si="21"/>
        <v>Clean</v>
      </c>
      <c r="AF93" t="str">
        <f t="shared" si="14"/>
        <v>Second Class</v>
      </c>
    </row>
    <row r="94" spans="1:32">
      <c r="A94" t="s">
        <v>4302</v>
      </c>
      <c r="B94" s="4">
        <v>45680</v>
      </c>
      <c r="C94" s="4">
        <v>45683</v>
      </c>
      <c r="D94" t="s">
        <v>4303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  <c r="V94" t="str">
        <f t="shared" si="15"/>
        <v>January</v>
      </c>
      <c r="W94" t="str">
        <f t="shared" si="16"/>
        <v>OK</v>
      </c>
      <c r="X94" t="str">
        <f t="shared" si="17"/>
        <v>OK</v>
      </c>
      <c r="Y94">
        <f t="shared" si="11"/>
        <v>0.1</v>
      </c>
      <c r="Z94">
        <f t="shared" si="12"/>
        <v>1</v>
      </c>
      <c r="AA94">
        <f t="shared" si="18"/>
        <v>6917.4060000000027</v>
      </c>
      <c r="AB94">
        <f t="shared" si="19"/>
        <v>36111.906000000003</v>
      </c>
      <c r="AC94">
        <f t="shared" si="20"/>
        <v>3</v>
      </c>
      <c r="AD94" t="str">
        <f t="shared" si="13"/>
        <v>West</v>
      </c>
      <c r="AE94" t="str">
        <f t="shared" si="21"/>
        <v>Clean</v>
      </c>
      <c r="AF94" t="str">
        <f t="shared" si="14"/>
        <v>Standard Class</v>
      </c>
    </row>
    <row r="95" spans="1:32">
      <c r="A95" t="s">
        <v>4304</v>
      </c>
      <c r="B95" s="4">
        <v>45474</v>
      </c>
      <c r="C95" s="4">
        <v>45304</v>
      </c>
      <c r="D95" t="s">
        <v>4305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  <c r="V95" t="str">
        <f t="shared" si="15"/>
        <v>January</v>
      </c>
      <c r="W95" s="5" t="str">
        <f t="shared" si="16"/>
        <v>Invalid</v>
      </c>
      <c r="X95" s="5" t="str">
        <f t="shared" si="17"/>
        <v>Negative Discount</v>
      </c>
      <c r="Y95">
        <f t="shared" si="11"/>
        <v>-0.09</v>
      </c>
      <c r="Z95">
        <f t="shared" si="12"/>
        <v>1</v>
      </c>
      <c r="AA95">
        <f t="shared" si="18"/>
        <v>8824.0610999999972</v>
      </c>
      <c r="AB95">
        <f t="shared" si="19"/>
        <v>21279.841099999998</v>
      </c>
      <c r="AC95" s="5">
        <f t="shared" si="20"/>
        <v>-170</v>
      </c>
      <c r="AD95" t="str">
        <f t="shared" si="13"/>
        <v>North</v>
      </c>
      <c r="AE95" t="str">
        <f t="shared" si="21"/>
        <v>Invalid</v>
      </c>
      <c r="AF95" t="str">
        <f t="shared" si="14"/>
        <v>Standard Class</v>
      </c>
    </row>
    <row r="96" spans="1:32">
      <c r="A96" t="s">
        <v>4306</v>
      </c>
      <c r="B96" s="4">
        <v>45452</v>
      </c>
      <c r="C96" s="4">
        <v>45544</v>
      </c>
      <c r="D96" t="s">
        <v>4307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  <c r="V96" t="str">
        <f t="shared" si="15"/>
        <v>September</v>
      </c>
      <c r="W96" t="str">
        <f t="shared" si="16"/>
        <v>OK</v>
      </c>
      <c r="X96" t="str">
        <f t="shared" si="17"/>
        <v>OK</v>
      </c>
      <c r="Y96">
        <f t="shared" si="11"/>
        <v>0</v>
      </c>
      <c r="Z96">
        <f t="shared" si="12"/>
        <v>1</v>
      </c>
      <c r="AA96">
        <f t="shared" si="18"/>
        <v>5103.1100000000042</v>
      </c>
      <c r="AB96">
        <f t="shared" si="19"/>
        <v>26470.710000000003</v>
      </c>
      <c r="AC96">
        <f t="shared" si="20"/>
        <v>92</v>
      </c>
      <c r="AD96" t="str">
        <f t="shared" si="13"/>
        <v>North</v>
      </c>
      <c r="AE96" t="str">
        <f t="shared" si="21"/>
        <v>Clean</v>
      </c>
      <c r="AF96" t="str">
        <f t="shared" si="14"/>
        <v>Second Class</v>
      </c>
    </row>
    <row r="97" spans="1:32">
      <c r="A97" t="s">
        <v>4308</v>
      </c>
      <c r="B97" s="4">
        <v>45905</v>
      </c>
      <c r="C97" s="4">
        <v>45939</v>
      </c>
      <c r="D97" t="s">
        <v>4309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  <c r="V97" t="str">
        <f t="shared" si="15"/>
        <v>October</v>
      </c>
      <c r="W97" t="str">
        <f t="shared" si="16"/>
        <v>OK</v>
      </c>
      <c r="X97" t="str">
        <f t="shared" si="17"/>
        <v>OK</v>
      </c>
      <c r="Y97">
        <f t="shared" si="11"/>
        <v>0</v>
      </c>
      <c r="Z97">
        <f t="shared" si="12"/>
        <v>1</v>
      </c>
      <c r="AA97">
        <f t="shared" si="18"/>
        <v>1683.7300000000014</v>
      </c>
      <c r="AB97">
        <f t="shared" si="19"/>
        <v>10524.78</v>
      </c>
      <c r="AC97">
        <f t="shared" si="20"/>
        <v>34</v>
      </c>
      <c r="AD97" t="str">
        <f t="shared" si="13"/>
        <v>West</v>
      </c>
      <c r="AE97" t="str">
        <f t="shared" si="21"/>
        <v>Clean</v>
      </c>
      <c r="AF97" t="str">
        <f t="shared" si="14"/>
        <v>Same Day</v>
      </c>
    </row>
    <row r="98" spans="1:32">
      <c r="A98" t="s">
        <v>4310</v>
      </c>
      <c r="B98" s="4">
        <v>45418</v>
      </c>
      <c r="C98" s="4">
        <v>45450</v>
      </c>
      <c r="D98" t="s">
        <v>4311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  <c r="V98" t="str">
        <f t="shared" si="15"/>
        <v>June</v>
      </c>
      <c r="W98" t="str">
        <f t="shared" si="16"/>
        <v>OK</v>
      </c>
      <c r="X98" t="str">
        <f t="shared" si="17"/>
        <v>OK</v>
      </c>
      <c r="Y98">
        <f t="shared" si="11"/>
        <v>0.15</v>
      </c>
      <c r="Z98">
        <f t="shared" si="12"/>
        <v>1</v>
      </c>
      <c r="AA98">
        <f t="shared" si="18"/>
        <v>1324.4179999999997</v>
      </c>
      <c r="AB98">
        <f t="shared" si="19"/>
        <v>3840.7079999999996</v>
      </c>
      <c r="AC98">
        <f t="shared" si="20"/>
        <v>32</v>
      </c>
      <c r="AD98" t="str">
        <f t="shared" si="13"/>
        <v>East</v>
      </c>
      <c r="AE98" t="str">
        <f t="shared" si="21"/>
        <v>Clean</v>
      </c>
      <c r="AF98" t="str">
        <f t="shared" si="14"/>
        <v>Second Class</v>
      </c>
    </row>
    <row r="99" spans="1:32">
      <c r="A99" t="s">
        <v>4312</v>
      </c>
      <c r="B99" s="4">
        <v>45877</v>
      </c>
      <c r="C99" s="4">
        <v>45880</v>
      </c>
      <c r="D99" t="s">
        <v>4313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  <c r="V99" t="str">
        <f t="shared" si="15"/>
        <v>August</v>
      </c>
      <c r="W99" t="str">
        <f t="shared" si="16"/>
        <v>OK</v>
      </c>
      <c r="X99" t="str">
        <f t="shared" si="17"/>
        <v>OK</v>
      </c>
      <c r="Y99">
        <f t="shared" si="11"/>
        <v>0.2</v>
      </c>
      <c r="Z99">
        <f t="shared" si="12"/>
        <v>1</v>
      </c>
      <c r="AA99">
        <f t="shared" si="18"/>
        <v>5599.4700000000012</v>
      </c>
      <c r="AB99">
        <f t="shared" si="19"/>
        <v>14409.44</v>
      </c>
      <c r="AC99">
        <f t="shared" si="20"/>
        <v>3</v>
      </c>
      <c r="AD99" t="str">
        <f t="shared" si="13"/>
        <v>West</v>
      </c>
      <c r="AE99" t="str">
        <f t="shared" si="21"/>
        <v>Clean</v>
      </c>
      <c r="AF99" t="str">
        <f t="shared" si="14"/>
        <v>Same Day</v>
      </c>
    </row>
    <row r="100" spans="1:32">
      <c r="A100" t="s">
        <v>4314</v>
      </c>
      <c r="B100" s="4">
        <v>45317</v>
      </c>
      <c r="C100" s="4">
        <v>45293</v>
      </c>
      <c r="D100" t="s">
        <v>4315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M100" t="s">
        <v>4187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  <c r="V100" t="str">
        <f t="shared" si="15"/>
        <v>January</v>
      </c>
      <c r="W100" s="5" t="str">
        <f t="shared" si="16"/>
        <v>Invalid</v>
      </c>
      <c r="X100" t="str">
        <f t="shared" si="17"/>
        <v>OK</v>
      </c>
      <c r="Y100">
        <f t="shared" si="11"/>
        <v>0.1</v>
      </c>
      <c r="Z100">
        <f t="shared" si="12"/>
        <v>1</v>
      </c>
      <c r="AA100">
        <f t="shared" si="18"/>
        <v>3913.5559999999987</v>
      </c>
      <c r="AB100">
        <f t="shared" si="19"/>
        <v>15184.295999999998</v>
      </c>
      <c r="AC100" s="5">
        <f t="shared" si="20"/>
        <v>-24</v>
      </c>
      <c r="AD100" t="str">
        <f t="shared" si="13"/>
        <v>South</v>
      </c>
      <c r="AE100" t="str">
        <f t="shared" si="21"/>
        <v>Invalid</v>
      </c>
      <c r="AF100" s="5" t="str">
        <f t="shared" si="14"/>
        <v>Unknown</v>
      </c>
    </row>
    <row r="101" spans="1:32">
      <c r="A101" t="s">
        <v>4316</v>
      </c>
      <c r="B101" s="4">
        <v>45668</v>
      </c>
      <c r="C101" s="4">
        <v>45668</v>
      </c>
      <c r="D101" t="s">
        <v>4317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  <c r="V101" t="str">
        <f t="shared" si="15"/>
        <v>January</v>
      </c>
      <c r="W101" s="5" t="str">
        <f t="shared" si="16"/>
        <v>Invalid</v>
      </c>
      <c r="X101" t="str">
        <f t="shared" si="17"/>
        <v>OK</v>
      </c>
      <c r="Y101">
        <f t="shared" si="11"/>
        <v>0</v>
      </c>
      <c r="Z101">
        <f t="shared" si="12"/>
        <v>1</v>
      </c>
      <c r="AA101">
        <f t="shared" si="18"/>
        <v>1794.9799999999996</v>
      </c>
      <c r="AB101">
        <f t="shared" si="19"/>
        <v>6495.87</v>
      </c>
      <c r="AC101">
        <f t="shared" si="20"/>
        <v>0</v>
      </c>
      <c r="AD101" t="str">
        <f t="shared" si="13"/>
        <v>West</v>
      </c>
      <c r="AE101" t="str">
        <f t="shared" si="21"/>
        <v>Clean</v>
      </c>
      <c r="AF101" t="str">
        <f t="shared" si="14"/>
        <v>Same Day</v>
      </c>
    </row>
    <row r="102" spans="1:32">
      <c r="A102" t="s">
        <v>4318</v>
      </c>
      <c r="B102" s="4">
        <v>46000</v>
      </c>
      <c r="C102" s="4">
        <v>45918</v>
      </c>
      <c r="D102" t="s">
        <v>4319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  <c r="V102" t="str">
        <f t="shared" si="15"/>
        <v>September</v>
      </c>
      <c r="W102" s="5" t="str">
        <f t="shared" si="16"/>
        <v>Invalid</v>
      </c>
      <c r="X102" t="str">
        <f t="shared" si="17"/>
        <v>OK</v>
      </c>
      <c r="Y102">
        <f t="shared" si="11"/>
        <v>0.05</v>
      </c>
      <c r="Z102">
        <f t="shared" si="12"/>
        <v>1</v>
      </c>
      <c r="AA102">
        <f t="shared" si="18"/>
        <v>3979.1699999999983</v>
      </c>
      <c r="AB102">
        <f t="shared" si="19"/>
        <v>9540.659999999998</v>
      </c>
      <c r="AC102" s="5">
        <f t="shared" si="20"/>
        <v>-82</v>
      </c>
      <c r="AD102" t="str">
        <f t="shared" si="13"/>
        <v>South</v>
      </c>
      <c r="AE102" t="str">
        <f t="shared" si="21"/>
        <v>Invalid</v>
      </c>
      <c r="AF102" t="str">
        <f t="shared" si="14"/>
        <v>Standard Class</v>
      </c>
    </row>
    <row r="103" spans="1:32">
      <c r="A103" t="s">
        <v>4320</v>
      </c>
      <c r="B103" s="4">
        <v>45465</v>
      </c>
      <c r="C103" s="4">
        <v>45469</v>
      </c>
      <c r="D103" t="s">
        <v>4321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  <c r="V103" t="str">
        <f t="shared" si="15"/>
        <v>June</v>
      </c>
      <c r="W103" t="str">
        <f t="shared" si="16"/>
        <v>OK</v>
      </c>
      <c r="X103" t="str">
        <f t="shared" si="17"/>
        <v>OK</v>
      </c>
      <c r="Y103">
        <f t="shared" si="11"/>
        <v>0.25</v>
      </c>
      <c r="Z103">
        <f t="shared" si="12"/>
        <v>1</v>
      </c>
      <c r="AA103">
        <f t="shared" si="18"/>
        <v>4432.8100000000013</v>
      </c>
      <c r="AB103">
        <f t="shared" si="19"/>
        <v>16486.95</v>
      </c>
      <c r="AC103">
        <f t="shared" si="20"/>
        <v>4</v>
      </c>
      <c r="AD103" t="str">
        <f t="shared" si="13"/>
        <v>East</v>
      </c>
      <c r="AE103" t="str">
        <f t="shared" si="21"/>
        <v>Clean</v>
      </c>
      <c r="AF103" t="str">
        <f t="shared" si="14"/>
        <v>First Class</v>
      </c>
    </row>
    <row r="104" spans="1:32">
      <c r="A104" t="s">
        <v>4322</v>
      </c>
      <c r="B104" s="4">
        <v>45998</v>
      </c>
      <c r="C104" s="4">
        <v>45854</v>
      </c>
      <c r="D104" t="s">
        <v>4323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  <c r="V104" t="str">
        <f t="shared" si="15"/>
        <v>July</v>
      </c>
      <c r="W104" s="5" t="str">
        <f t="shared" si="16"/>
        <v>Invalid</v>
      </c>
      <c r="X104" t="str">
        <f t="shared" si="17"/>
        <v>OK</v>
      </c>
      <c r="Y104">
        <f t="shared" si="11"/>
        <v>0</v>
      </c>
      <c r="Z104">
        <f t="shared" si="12"/>
        <v>1</v>
      </c>
      <c r="AA104">
        <f t="shared" si="18"/>
        <v>2483.0599999999995</v>
      </c>
      <c r="AB104">
        <f t="shared" si="19"/>
        <v>11462.84</v>
      </c>
      <c r="AC104" s="5">
        <f t="shared" si="20"/>
        <v>-144</v>
      </c>
      <c r="AD104" t="str">
        <f t="shared" si="13"/>
        <v>South</v>
      </c>
      <c r="AE104" t="str">
        <f t="shared" si="21"/>
        <v>Invalid</v>
      </c>
      <c r="AF104" t="str">
        <f t="shared" si="14"/>
        <v>First Class</v>
      </c>
    </row>
    <row r="105" spans="1:32">
      <c r="A105" t="s">
        <v>4324</v>
      </c>
      <c r="B105" s="4">
        <v>45693</v>
      </c>
      <c r="C105" s="4">
        <v>45935</v>
      </c>
      <c r="D105" t="s">
        <v>4325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  <c r="V105" t="str">
        <f t="shared" si="15"/>
        <v>October</v>
      </c>
      <c r="W105" t="str">
        <f t="shared" si="16"/>
        <v>OK</v>
      </c>
      <c r="X105" t="str">
        <f t="shared" si="17"/>
        <v>OK</v>
      </c>
      <c r="Y105">
        <f t="shared" si="11"/>
        <v>0.2</v>
      </c>
      <c r="Z105">
        <f t="shared" si="12"/>
        <v>1</v>
      </c>
      <c r="AA105">
        <f t="shared" si="18"/>
        <v>1151.3380000000006</v>
      </c>
      <c r="AB105">
        <f t="shared" si="19"/>
        <v>7809.0880000000006</v>
      </c>
      <c r="AC105">
        <f t="shared" si="20"/>
        <v>242</v>
      </c>
      <c r="AD105" t="str">
        <f t="shared" si="13"/>
        <v>West</v>
      </c>
      <c r="AE105" t="str">
        <f t="shared" si="21"/>
        <v>Clean</v>
      </c>
      <c r="AF105" t="str">
        <f t="shared" si="14"/>
        <v>First Class</v>
      </c>
    </row>
    <row r="106" spans="1:32">
      <c r="A106" t="s">
        <v>4326</v>
      </c>
      <c r="B106" s="4">
        <v>45659</v>
      </c>
      <c r="C106" s="4">
        <v>45871</v>
      </c>
      <c r="D106" t="s">
        <v>4327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  <c r="V106" t="str">
        <f t="shared" si="15"/>
        <v>August</v>
      </c>
      <c r="W106" t="str">
        <f t="shared" si="16"/>
        <v>OK</v>
      </c>
      <c r="X106" t="str">
        <f t="shared" si="17"/>
        <v>OK</v>
      </c>
      <c r="Y106">
        <f t="shared" si="11"/>
        <v>0.25</v>
      </c>
      <c r="Z106">
        <f t="shared" si="12"/>
        <v>1</v>
      </c>
      <c r="AA106">
        <f t="shared" si="18"/>
        <v>2302.0750000000007</v>
      </c>
      <c r="AB106">
        <f t="shared" si="19"/>
        <v>7922.0250000000005</v>
      </c>
      <c r="AC106">
        <f t="shared" si="20"/>
        <v>212</v>
      </c>
      <c r="AD106" t="str">
        <f t="shared" si="13"/>
        <v>South</v>
      </c>
      <c r="AE106" t="str">
        <f t="shared" si="21"/>
        <v>Clean</v>
      </c>
      <c r="AF106" t="str">
        <f t="shared" si="14"/>
        <v>Same Day</v>
      </c>
    </row>
    <row r="107" spans="1:32">
      <c r="A107" t="s">
        <v>4328</v>
      </c>
      <c r="B107" s="4">
        <v>45467</v>
      </c>
      <c r="C107" s="4">
        <v>45472</v>
      </c>
      <c r="D107" t="s">
        <v>4329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  <c r="V107" t="str">
        <f t="shared" si="15"/>
        <v>June</v>
      </c>
      <c r="W107" t="str">
        <f t="shared" si="16"/>
        <v>OK</v>
      </c>
      <c r="X107" t="str">
        <f t="shared" si="17"/>
        <v>OK</v>
      </c>
      <c r="Y107">
        <f t="shared" si="11"/>
        <v>0.1</v>
      </c>
      <c r="Z107">
        <f t="shared" si="12"/>
        <v>1</v>
      </c>
      <c r="AA107">
        <f t="shared" si="18"/>
        <v>226.10000000000002</v>
      </c>
      <c r="AB107">
        <f t="shared" si="19"/>
        <v>1233</v>
      </c>
      <c r="AC107">
        <f t="shared" si="20"/>
        <v>5</v>
      </c>
      <c r="AD107" t="str">
        <f t="shared" si="13"/>
        <v>East</v>
      </c>
      <c r="AE107" t="str">
        <f t="shared" si="21"/>
        <v>Clean</v>
      </c>
      <c r="AF107" t="str">
        <f t="shared" si="14"/>
        <v>Second Class</v>
      </c>
    </row>
    <row r="108" spans="1:32">
      <c r="A108" t="s">
        <v>4330</v>
      </c>
      <c r="B108" s="4">
        <v>45342</v>
      </c>
      <c r="C108" s="4">
        <v>45350</v>
      </c>
      <c r="D108" t="s">
        <v>4331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  <c r="V108" t="str">
        <f t="shared" si="15"/>
        <v>February</v>
      </c>
      <c r="W108" t="str">
        <f t="shared" si="16"/>
        <v>OK</v>
      </c>
      <c r="X108" t="str">
        <f t="shared" si="17"/>
        <v>OK</v>
      </c>
      <c r="Y108">
        <f t="shared" si="11"/>
        <v>0</v>
      </c>
      <c r="Z108">
        <f t="shared" si="12"/>
        <v>1</v>
      </c>
      <c r="AA108">
        <f t="shared" si="18"/>
        <v>2298.6899999999996</v>
      </c>
      <c r="AB108">
        <f t="shared" si="19"/>
        <v>8008.08</v>
      </c>
      <c r="AC108">
        <f t="shared" si="20"/>
        <v>8</v>
      </c>
      <c r="AD108" t="str">
        <f t="shared" si="13"/>
        <v>East</v>
      </c>
      <c r="AE108" t="str">
        <f t="shared" si="21"/>
        <v>Clean</v>
      </c>
      <c r="AF108" t="str">
        <f t="shared" si="14"/>
        <v>Standard Class</v>
      </c>
    </row>
    <row r="109" spans="1:32">
      <c r="A109" t="s">
        <v>4332</v>
      </c>
      <c r="B109" s="4">
        <v>45594</v>
      </c>
      <c r="C109" s="4">
        <v>45600</v>
      </c>
      <c r="D109" t="s">
        <v>4333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  <c r="V109" t="str">
        <f t="shared" si="15"/>
        <v>November</v>
      </c>
      <c r="W109" t="str">
        <f t="shared" si="16"/>
        <v>OK</v>
      </c>
      <c r="X109" t="str">
        <f t="shared" si="17"/>
        <v>OK</v>
      </c>
      <c r="Y109">
        <f t="shared" si="11"/>
        <v>0.05</v>
      </c>
      <c r="Z109">
        <f t="shared" si="12"/>
        <v>1</v>
      </c>
      <c r="AA109">
        <f t="shared" si="18"/>
        <v>3337.6665000000012</v>
      </c>
      <c r="AB109">
        <f t="shared" si="19"/>
        <v>12263.236500000001</v>
      </c>
      <c r="AC109">
        <f t="shared" si="20"/>
        <v>6</v>
      </c>
      <c r="AD109" t="str">
        <f t="shared" si="13"/>
        <v>East</v>
      </c>
      <c r="AE109" t="str">
        <f t="shared" si="21"/>
        <v>Clean</v>
      </c>
      <c r="AF109" t="str">
        <f t="shared" si="14"/>
        <v>First Class</v>
      </c>
    </row>
    <row r="110" spans="1:32">
      <c r="A110" t="s">
        <v>4334</v>
      </c>
      <c r="B110" s="4">
        <v>45519</v>
      </c>
      <c r="C110" s="4">
        <v>45527</v>
      </c>
      <c r="D110" t="s">
        <v>4335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  <c r="V110" t="str">
        <f t="shared" si="15"/>
        <v>August</v>
      </c>
      <c r="W110" t="str">
        <f t="shared" si="16"/>
        <v>OK</v>
      </c>
      <c r="X110" t="str">
        <f t="shared" si="17"/>
        <v>OK</v>
      </c>
      <c r="Y110">
        <f t="shared" si="11"/>
        <v>0.25</v>
      </c>
      <c r="Z110">
        <f t="shared" si="12"/>
        <v>1</v>
      </c>
      <c r="AA110">
        <f t="shared" si="18"/>
        <v>307.80999999999995</v>
      </c>
      <c r="AB110">
        <f t="shared" si="19"/>
        <v>806.31</v>
      </c>
      <c r="AC110">
        <f t="shared" si="20"/>
        <v>8</v>
      </c>
      <c r="AD110" t="str">
        <f t="shared" si="13"/>
        <v>East</v>
      </c>
      <c r="AE110" t="str">
        <f t="shared" si="21"/>
        <v>Clean</v>
      </c>
      <c r="AF110" t="str">
        <f t="shared" si="14"/>
        <v>Same Day</v>
      </c>
    </row>
    <row r="111" spans="1:32">
      <c r="A111" t="s">
        <v>4336</v>
      </c>
      <c r="B111" s="4">
        <v>45892</v>
      </c>
      <c r="C111" s="4">
        <v>45896</v>
      </c>
      <c r="D111" t="s">
        <v>4337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  <c r="V111" t="str">
        <f t="shared" si="15"/>
        <v>August</v>
      </c>
      <c r="W111" t="str">
        <f t="shared" si="16"/>
        <v>OK</v>
      </c>
      <c r="X111" t="str">
        <f t="shared" si="17"/>
        <v>OK</v>
      </c>
      <c r="Y111">
        <f t="shared" si="11"/>
        <v>0.25</v>
      </c>
      <c r="Z111">
        <f t="shared" si="12"/>
        <v>1</v>
      </c>
      <c r="AA111">
        <f t="shared" si="18"/>
        <v>774.24500000000012</v>
      </c>
      <c r="AB111">
        <f t="shared" si="19"/>
        <v>2091.4650000000001</v>
      </c>
      <c r="AC111">
        <f t="shared" si="20"/>
        <v>4</v>
      </c>
      <c r="AD111" t="str">
        <f t="shared" si="13"/>
        <v>North</v>
      </c>
      <c r="AE111" t="str">
        <f t="shared" si="21"/>
        <v>Clean</v>
      </c>
      <c r="AF111" t="str">
        <f t="shared" si="14"/>
        <v>Second Class</v>
      </c>
    </row>
    <row r="112" spans="1:32">
      <c r="A112" t="s">
        <v>4338</v>
      </c>
      <c r="B112" s="4">
        <v>45583</v>
      </c>
      <c r="C112" s="4">
        <v>45589</v>
      </c>
      <c r="D112" t="s">
        <v>4339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  <c r="V112" t="str">
        <f t="shared" si="15"/>
        <v>October</v>
      </c>
      <c r="W112" t="str">
        <f t="shared" si="16"/>
        <v>OK</v>
      </c>
      <c r="X112" t="str">
        <f t="shared" si="17"/>
        <v>OK</v>
      </c>
      <c r="Y112">
        <f t="shared" si="11"/>
        <v>0</v>
      </c>
      <c r="Z112">
        <f t="shared" si="12"/>
        <v>1</v>
      </c>
      <c r="AA112">
        <f t="shared" si="18"/>
        <v>1893.2099999999996</v>
      </c>
      <c r="AB112">
        <f t="shared" si="19"/>
        <v>4500.9399999999996</v>
      </c>
      <c r="AC112">
        <f t="shared" si="20"/>
        <v>6</v>
      </c>
      <c r="AD112" t="str">
        <f t="shared" si="13"/>
        <v>South</v>
      </c>
      <c r="AE112" t="str">
        <f t="shared" si="21"/>
        <v>Clean</v>
      </c>
      <c r="AF112" t="str">
        <f t="shared" si="14"/>
        <v>First Class</v>
      </c>
    </row>
    <row r="113" spans="1:32">
      <c r="A113" t="s">
        <v>4340</v>
      </c>
      <c r="B113" s="4">
        <v>45835</v>
      </c>
      <c r="C113" s="4">
        <v>45838</v>
      </c>
      <c r="D113" t="s">
        <v>4341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  <c r="V113" t="str">
        <f t="shared" si="15"/>
        <v>June</v>
      </c>
      <c r="W113" t="str">
        <f t="shared" si="16"/>
        <v>OK</v>
      </c>
      <c r="X113" t="str">
        <f t="shared" si="17"/>
        <v>OK</v>
      </c>
      <c r="Y113">
        <f t="shared" si="11"/>
        <v>0.05</v>
      </c>
      <c r="Z113">
        <f t="shared" si="12"/>
        <v>1</v>
      </c>
      <c r="AA113">
        <f t="shared" si="18"/>
        <v>545.55799999999999</v>
      </c>
      <c r="AB113">
        <f t="shared" si="19"/>
        <v>1623.018</v>
      </c>
      <c r="AC113">
        <f t="shared" si="20"/>
        <v>3</v>
      </c>
      <c r="AD113" t="str">
        <f t="shared" si="13"/>
        <v>East</v>
      </c>
      <c r="AE113" t="str">
        <f t="shared" si="21"/>
        <v>Clean</v>
      </c>
      <c r="AF113" t="str">
        <f t="shared" si="14"/>
        <v>First Class</v>
      </c>
    </row>
    <row r="114" spans="1:32">
      <c r="A114" t="s">
        <v>4342</v>
      </c>
      <c r="B114" s="4">
        <v>45566</v>
      </c>
      <c r="C114" s="4">
        <v>45305</v>
      </c>
      <c r="D114" t="s">
        <v>4343</v>
      </c>
      <c r="E114" t="s">
        <v>168</v>
      </c>
      <c r="F114" t="s">
        <v>26</v>
      </c>
      <c r="G114" t="s">
        <v>4187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  <c r="V114" t="str">
        <f t="shared" si="15"/>
        <v>January</v>
      </c>
      <c r="W114" s="5" t="str">
        <f t="shared" si="16"/>
        <v>Invalid</v>
      </c>
      <c r="X114" t="str">
        <f t="shared" si="17"/>
        <v>OK</v>
      </c>
      <c r="Y114">
        <f t="shared" si="11"/>
        <v>0.05</v>
      </c>
      <c r="Z114">
        <f t="shared" si="12"/>
        <v>1</v>
      </c>
      <c r="AA114">
        <f t="shared" si="18"/>
        <v>4365.2780000000002</v>
      </c>
      <c r="AB114">
        <f t="shared" si="19"/>
        <v>10914.018</v>
      </c>
      <c r="AC114" s="5">
        <f t="shared" si="20"/>
        <v>-261</v>
      </c>
      <c r="AD114" s="5" t="str">
        <f t="shared" si="13"/>
        <v>Unknown</v>
      </c>
      <c r="AE114" t="str">
        <f t="shared" si="21"/>
        <v>Invalid</v>
      </c>
      <c r="AF114" t="str">
        <f t="shared" si="14"/>
        <v>Standard Class</v>
      </c>
    </row>
    <row r="115" spans="1:32">
      <c r="A115" t="s">
        <v>4344</v>
      </c>
      <c r="B115" s="4">
        <v>45334</v>
      </c>
      <c r="C115" s="4">
        <v>45334</v>
      </c>
      <c r="D115" t="s">
        <v>4285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  <c r="V115" t="str">
        <f t="shared" si="15"/>
        <v>February</v>
      </c>
      <c r="W115" s="5" t="str">
        <f t="shared" si="16"/>
        <v>Invalid</v>
      </c>
      <c r="X115" t="str">
        <f t="shared" si="17"/>
        <v>OK</v>
      </c>
      <c r="Y115">
        <f t="shared" si="11"/>
        <v>0.25</v>
      </c>
      <c r="Z115">
        <f t="shared" si="12"/>
        <v>1</v>
      </c>
      <c r="AA115">
        <f t="shared" si="18"/>
        <v>810.69749999999999</v>
      </c>
      <c r="AB115">
        <f t="shared" si="19"/>
        <v>2450.5875000000001</v>
      </c>
      <c r="AC115">
        <f t="shared" si="20"/>
        <v>0</v>
      </c>
      <c r="AD115" t="str">
        <f t="shared" si="13"/>
        <v>South</v>
      </c>
      <c r="AE115" t="str">
        <f t="shared" si="21"/>
        <v>Clean</v>
      </c>
      <c r="AF115" t="str">
        <f t="shared" si="14"/>
        <v>Standard Class</v>
      </c>
    </row>
    <row r="116" spans="1:32">
      <c r="A116" t="s">
        <v>4345</v>
      </c>
      <c r="B116" s="4">
        <v>45560</v>
      </c>
      <c r="C116" s="4">
        <v>45565</v>
      </c>
      <c r="D116" t="s">
        <v>4346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  <c r="V116" t="str">
        <f t="shared" si="15"/>
        <v>September</v>
      </c>
      <c r="W116" t="str">
        <f t="shared" si="16"/>
        <v>OK</v>
      </c>
      <c r="X116" t="str">
        <f t="shared" si="17"/>
        <v>OK</v>
      </c>
      <c r="Y116">
        <f t="shared" si="11"/>
        <v>0.1</v>
      </c>
      <c r="Z116">
        <f t="shared" si="12"/>
        <v>1</v>
      </c>
      <c r="AA116">
        <f t="shared" si="18"/>
        <v>762.82999999999993</v>
      </c>
      <c r="AB116">
        <f t="shared" si="19"/>
        <v>3949.56</v>
      </c>
      <c r="AC116">
        <f t="shared" si="20"/>
        <v>5</v>
      </c>
      <c r="AD116" t="str">
        <f t="shared" si="13"/>
        <v>North</v>
      </c>
      <c r="AE116" t="str">
        <f t="shared" si="21"/>
        <v>Clean</v>
      </c>
      <c r="AF116" t="str">
        <f t="shared" si="14"/>
        <v>Second Class</v>
      </c>
    </row>
    <row r="117" spans="1:32">
      <c r="A117" t="s">
        <v>4347</v>
      </c>
      <c r="B117" s="4">
        <v>45653</v>
      </c>
      <c r="C117" s="4">
        <v>45658</v>
      </c>
      <c r="D117" t="s">
        <v>4348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  <c r="V117" t="str">
        <f t="shared" si="15"/>
        <v>January</v>
      </c>
      <c r="W117" t="str">
        <f t="shared" si="16"/>
        <v>OK</v>
      </c>
      <c r="X117" t="str">
        <f t="shared" si="17"/>
        <v>OK</v>
      </c>
      <c r="Y117">
        <f t="shared" si="11"/>
        <v>0.15</v>
      </c>
      <c r="Z117">
        <f t="shared" si="12"/>
        <v>1</v>
      </c>
      <c r="AA117">
        <f t="shared" si="18"/>
        <v>268.0379999999999</v>
      </c>
      <c r="AB117">
        <f t="shared" si="19"/>
        <v>758.77799999999991</v>
      </c>
      <c r="AC117">
        <f t="shared" si="20"/>
        <v>5</v>
      </c>
      <c r="AD117" t="str">
        <f t="shared" si="13"/>
        <v>South</v>
      </c>
      <c r="AE117" t="str">
        <f t="shared" si="21"/>
        <v>Clean</v>
      </c>
      <c r="AF117" t="str">
        <f t="shared" si="14"/>
        <v>Same Day</v>
      </c>
    </row>
    <row r="118" spans="1:32">
      <c r="A118" t="s">
        <v>4349</v>
      </c>
      <c r="B118" s="4">
        <v>45703</v>
      </c>
      <c r="C118" s="4">
        <v>45707</v>
      </c>
      <c r="D118" t="s">
        <v>4350</v>
      </c>
      <c r="E118" t="s">
        <v>72</v>
      </c>
      <c r="F118" t="s">
        <v>41</v>
      </c>
      <c r="G118" t="s">
        <v>4187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  <c r="V118" t="str">
        <f t="shared" si="15"/>
        <v>February</v>
      </c>
      <c r="W118" t="str">
        <f t="shared" si="16"/>
        <v>OK</v>
      </c>
      <c r="X118" t="str">
        <f t="shared" si="17"/>
        <v>OK</v>
      </c>
      <c r="Y118">
        <f t="shared" si="11"/>
        <v>0.25</v>
      </c>
      <c r="Z118">
        <f t="shared" si="12"/>
        <v>1</v>
      </c>
      <c r="AA118">
        <f t="shared" si="18"/>
        <v>529.54250000000002</v>
      </c>
      <c r="AB118">
        <f t="shared" si="19"/>
        <v>3590.9324999999999</v>
      </c>
      <c r="AC118">
        <f t="shared" si="20"/>
        <v>4</v>
      </c>
      <c r="AD118" s="5" t="str">
        <f t="shared" si="13"/>
        <v>Unknown</v>
      </c>
      <c r="AE118" t="str">
        <f t="shared" si="21"/>
        <v>Clean</v>
      </c>
      <c r="AF118" t="str">
        <f t="shared" si="14"/>
        <v>First Class</v>
      </c>
    </row>
    <row r="119" spans="1:32">
      <c r="A119" t="s">
        <v>4351</v>
      </c>
      <c r="B119" s="4">
        <v>45337</v>
      </c>
      <c r="C119" s="4">
        <v>45339</v>
      </c>
      <c r="D119" t="s">
        <v>4352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s="7">
        <v>7.0000000000000007E-2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  <c r="V119" t="str">
        <f t="shared" si="15"/>
        <v>February</v>
      </c>
      <c r="W119" t="str">
        <f t="shared" si="16"/>
        <v>OK</v>
      </c>
      <c r="X119" t="str">
        <f t="shared" si="17"/>
        <v>OK</v>
      </c>
      <c r="Y119">
        <f t="shared" si="11"/>
        <v>7.0000000000000007E-2</v>
      </c>
      <c r="Z119">
        <f t="shared" si="12"/>
        <v>1</v>
      </c>
      <c r="AA119">
        <f t="shared" si="18"/>
        <v>7456.3234999999986</v>
      </c>
      <c r="AB119">
        <f t="shared" si="19"/>
        <v>27826.483499999998</v>
      </c>
      <c r="AC119">
        <f t="shared" si="20"/>
        <v>2</v>
      </c>
      <c r="AD119" t="str">
        <f t="shared" si="13"/>
        <v>South</v>
      </c>
      <c r="AE119" t="str">
        <f t="shared" si="21"/>
        <v>Clean</v>
      </c>
      <c r="AF119" t="str">
        <f t="shared" si="14"/>
        <v>Standard Class</v>
      </c>
    </row>
    <row r="120" spans="1:32">
      <c r="A120" t="s">
        <v>4353</v>
      </c>
      <c r="B120" s="4">
        <v>45571</v>
      </c>
      <c r="C120" s="4">
        <v>45461</v>
      </c>
      <c r="D120" t="s">
        <v>4354</v>
      </c>
      <c r="E120" t="s">
        <v>83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  <c r="V120" t="str">
        <f t="shared" si="15"/>
        <v>June</v>
      </c>
      <c r="W120" s="5" t="str">
        <f t="shared" si="16"/>
        <v>Invalid</v>
      </c>
      <c r="X120" t="str">
        <f t="shared" si="17"/>
        <v>OK</v>
      </c>
      <c r="Y120">
        <f t="shared" si="11"/>
        <v>0.2</v>
      </c>
      <c r="Z120">
        <f t="shared" si="12"/>
        <v>1</v>
      </c>
      <c r="AA120">
        <f t="shared" si="18"/>
        <v>1913.8600000000006</v>
      </c>
      <c r="AB120">
        <f t="shared" si="19"/>
        <v>6321.0800000000008</v>
      </c>
      <c r="AC120" s="5">
        <f t="shared" si="20"/>
        <v>-110</v>
      </c>
      <c r="AD120" t="str">
        <f t="shared" si="13"/>
        <v>South</v>
      </c>
      <c r="AE120" t="str">
        <f t="shared" si="21"/>
        <v>Invalid</v>
      </c>
      <c r="AF120" t="str">
        <f t="shared" si="14"/>
        <v>Same Day</v>
      </c>
    </row>
    <row r="121" spans="1:32">
      <c r="A121" t="s">
        <v>4355</v>
      </c>
      <c r="B121" s="4">
        <v>45632</v>
      </c>
      <c r="C121" s="4">
        <v>45462</v>
      </c>
      <c r="D121" t="s">
        <v>4356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  <c r="V121" t="str">
        <f t="shared" si="15"/>
        <v>June</v>
      </c>
      <c r="W121" s="5" t="str">
        <f t="shared" si="16"/>
        <v>Invalid</v>
      </c>
      <c r="X121" t="str">
        <f t="shared" si="17"/>
        <v>OK</v>
      </c>
      <c r="Y121">
        <f t="shared" si="11"/>
        <v>0.25</v>
      </c>
      <c r="Z121">
        <f t="shared" si="12"/>
        <v>1</v>
      </c>
      <c r="AA121">
        <f t="shared" si="18"/>
        <v>366.61000000000013</v>
      </c>
      <c r="AB121">
        <f t="shared" si="19"/>
        <v>1884.3000000000002</v>
      </c>
      <c r="AC121" s="5">
        <f t="shared" si="20"/>
        <v>-170</v>
      </c>
      <c r="AD121" t="str">
        <f t="shared" si="13"/>
        <v>South</v>
      </c>
      <c r="AE121" t="str">
        <f t="shared" si="21"/>
        <v>Invalid</v>
      </c>
      <c r="AF121" t="str">
        <f t="shared" si="14"/>
        <v>Standard Class</v>
      </c>
    </row>
    <row r="122" spans="1:32">
      <c r="A122" t="s">
        <v>4357</v>
      </c>
      <c r="B122" s="4">
        <v>45573</v>
      </c>
      <c r="C122" s="4">
        <v>45522</v>
      </c>
      <c r="D122" t="s">
        <v>4358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  <c r="V122" t="str">
        <f t="shared" si="15"/>
        <v>August</v>
      </c>
      <c r="W122" s="5" t="str">
        <f t="shared" si="16"/>
        <v>Invalid</v>
      </c>
      <c r="X122" t="str">
        <f t="shared" si="17"/>
        <v>OK</v>
      </c>
      <c r="Y122">
        <f t="shared" si="11"/>
        <v>0.2</v>
      </c>
      <c r="Z122">
        <f t="shared" si="12"/>
        <v>1</v>
      </c>
      <c r="AA122">
        <f t="shared" si="18"/>
        <v>565.7360000000001</v>
      </c>
      <c r="AB122">
        <f t="shared" si="19"/>
        <v>1458.9360000000001</v>
      </c>
      <c r="AC122" s="5">
        <f t="shared" si="20"/>
        <v>-51</v>
      </c>
      <c r="AD122" t="str">
        <f t="shared" si="13"/>
        <v>East</v>
      </c>
      <c r="AE122" t="str">
        <f t="shared" si="21"/>
        <v>Invalid</v>
      </c>
      <c r="AF122" t="str">
        <f t="shared" si="14"/>
        <v>Standard Class</v>
      </c>
    </row>
    <row r="123" spans="1:32">
      <c r="A123" t="s">
        <v>4359</v>
      </c>
      <c r="B123" s="4">
        <v>45891</v>
      </c>
      <c r="C123" s="4">
        <v>45895</v>
      </c>
      <c r="D123" t="s">
        <v>4360</v>
      </c>
      <c r="E123" t="s">
        <v>366</v>
      </c>
      <c r="F123" t="s">
        <v>41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  <c r="V123" t="str">
        <f t="shared" si="15"/>
        <v>August</v>
      </c>
      <c r="W123" t="str">
        <f t="shared" si="16"/>
        <v>OK</v>
      </c>
      <c r="X123" t="str">
        <f t="shared" si="17"/>
        <v>OK</v>
      </c>
      <c r="Y123">
        <f t="shared" si="11"/>
        <v>0</v>
      </c>
      <c r="Z123">
        <f t="shared" si="12"/>
        <v>1</v>
      </c>
      <c r="AA123">
        <f t="shared" si="18"/>
        <v>5653.6899999999987</v>
      </c>
      <c r="AB123">
        <f t="shared" si="19"/>
        <v>17414.599999999999</v>
      </c>
      <c r="AC123">
        <f t="shared" si="20"/>
        <v>4</v>
      </c>
      <c r="AD123" t="str">
        <f t="shared" si="13"/>
        <v>South</v>
      </c>
      <c r="AE123" t="str">
        <f t="shared" si="21"/>
        <v>Clean</v>
      </c>
      <c r="AF123" t="str">
        <f t="shared" si="14"/>
        <v>Second Class</v>
      </c>
    </row>
    <row r="124" spans="1:32">
      <c r="A124" t="s">
        <v>4361</v>
      </c>
      <c r="B124" s="4">
        <v>45626</v>
      </c>
      <c r="C124" s="4">
        <v>45630</v>
      </c>
      <c r="D124" t="s">
        <v>4362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  <c r="V124" t="str">
        <f t="shared" si="15"/>
        <v>December</v>
      </c>
      <c r="W124" t="str">
        <f t="shared" si="16"/>
        <v>OK</v>
      </c>
      <c r="X124" t="str">
        <f t="shared" si="17"/>
        <v>OK</v>
      </c>
      <c r="Y124">
        <f t="shared" si="11"/>
        <v>0</v>
      </c>
      <c r="Z124">
        <f t="shared" si="12"/>
        <v>1</v>
      </c>
      <c r="AA124">
        <f t="shared" si="18"/>
        <v>143.86999999999995</v>
      </c>
      <c r="AB124">
        <f t="shared" si="19"/>
        <v>511.04999999999995</v>
      </c>
      <c r="AC124">
        <f t="shared" si="20"/>
        <v>4</v>
      </c>
      <c r="AD124" t="str">
        <f t="shared" si="13"/>
        <v>East</v>
      </c>
      <c r="AE124" t="str">
        <f t="shared" si="21"/>
        <v>Clean</v>
      </c>
      <c r="AF124" t="str">
        <f t="shared" si="14"/>
        <v>Second Class</v>
      </c>
    </row>
    <row r="125" spans="1:32">
      <c r="A125" t="s">
        <v>4363</v>
      </c>
      <c r="B125" s="4">
        <v>45436</v>
      </c>
      <c r="C125" s="4">
        <v>45437</v>
      </c>
      <c r="D125" t="s">
        <v>4364</v>
      </c>
      <c r="E125" t="s">
        <v>168</v>
      </c>
      <c r="F125" t="s">
        <v>41</v>
      </c>
      <c r="G125" t="s">
        <v>27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s="8" t="s">
        <v>78</v>
      </c>
      <c r="V125" t="str">
        <f t="shared" si="15"/>
        <v>May</v>
      </c>
      <c r="W125" t="str">
        <f t="shared" si="16"/>
        <v>OK</v>
      </c>
      <c r="X125" t="str">
        <f t="shared" si="17"/>
        <v>OK</v>
      </c>
      <c r="Y125">
        <f t="shared" si="11"/>
        <v>0</v>
      </c>
      <c r="Z125" s="5">
        <f t="shared" si="12"/>
        <v>2</v>
      </c>
      <c r="AA125">
        <f t="shared" si="18"/>
        <v>180.77999999999997</v>
      </c>
      <c r="AB125">
        <f t="shared" si="19"/>
        <v>634.13</v>
      </c>
      <c r="AC125">
        <f t="shared" si="20"/>
        <v>1</v>
      </c>
      <c r="AD125" t="str">
        <f t="shared" si="13"/>
        <v>North</v>
      </c>
      <c r="AE125" t="str">
        <f t="shared" si="21"/>
        <v>Clean</v>
      </c>
      <c r="AF125" t="str">
        <f t="shared" si="14"/>
        <v>Same Day</v>
      </c>
    </row>
    <row r="126" spans="1:32">
      <c r="A126" t="s">
        <v>4365</v>
      </c>
      <c r="B126" s="4">
        <v>45494</v>
      </c>
      <c r="C126" s="4">
        <v>45497</v>
      </c>
      <c r="D126" t="s">
        <v>4366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  <c r="V126" t="str">
        <f t="shared" si="15"/>
        <v>July</v>
      </c>
      <c r="W126" t="str">
        <f t="shared" si="16"/>
        <v>OK</v>
      </c>
      <c r="X126" s="5" t="str">
        <f t="shared" si="17"/>
        <v>Negative Discount</v>
      </c>
      <c r="Y126">
        <f t="shared" si="11"/>
        <v>-0.15</v>
      </c>
      <c r="Z126">
        <f t="shared" si="12"/>
        <v>1</v>
      </c>
      <c r="AA126">
        <f t="shared" si="18"/>
        <v>1369.6309999999994</v>
      </c>
      <c r="AB126">
        <f t="shared" si="19"/>
        <v>4813.3709999999992</v>
      </c>
      <c r="AC126">
        <f t="shared" si="20"/>
        <v>3</v>
      </c>
      <c r="AD126" t="str">
        <f t="shared" si="13"/>
        <v>South</v>
      </c>
      <c r="AE126" t="str">
        <f t="shared" si="21"/>
        <v>Invalid</v>
      </c>
      <c r="AF126" t="str">
        <f t="shared" si="14"/>
        <v>Standard Class</v>
      </c>
    </row>
    <row r="127" spans="1:32">
      <c r="A127" t="s">
        <v>4367</v>
      </c>
      <c r="B127" s="4">
        <v>45855</v>
      </c>
      <c r="C127" s="4">
        <v>45856</v>
      </c>
      <c r="D127" t="s">
        <v>4368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  <c r="V127" t="str">
        <f t="shared" si="15"/>
        <v>July</v>
      </c>
      <c r="W127" t="str">
        <f t="shared" si="16"/>
        <v>OK</v>
      </c>
      <c r="X127" t="str">
        <f t="shared" si="17"/>
        <v>OK</v>
      </c>
      <c r="Y127">
        <f t="shared" si="11"/>
        <v>0.25</v>
      </c>
      <c r="Z127">
        <f t="shared" si="12"/>
        <v>1</v>
      </c>
      <c r="AA127">
        <f t="shared" si="18"/>
        <v>4967.2350000000006</v>
      </c>
      <c r="AB127">
        <f t="shared" si="19"/>
        <v>14558.715</v>
      </c>
      <c r="AC127">
        <f t="shared" si="20"/>
        <v>1</v>
      </c>
      <c r="AD127" t="str">
        <f t="shared" si="13"/>
        <v>West</v>
      </c>
      <c r="AE127" t="str">
        <f t="shared" si="21"/>
        <v>Clean</v>
      </c>
      <c r="AF127" t="str">
        <f t="shared" si="14"/>
        <v>Same Day</v>
      </c>
    </row>
    <row r="128" spans="1:32">
      <c r="A128" t="s">
        <v>4369</v>
      </c>
      <c r="B128" s="4">
        <v>45924</v>
      </c>
      <c r="C128" s="4">
        <v>45926</v>
      </c>
      <c r="D128" t="s">
        <v>4370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  <c r="V128" t="str">
        <f t="shared" si="15"/>
        <v>September</v>
      </c>
      <c r="W128" t="str">
        <f t="shared" si="16"/>
        <v>OK</v>
      </c>
      <c r="X128" t="str">
        <f t="shared" si="17"/>
        <v>OK</v>
      </c>
      <c r="Y128">
        <f t="shared" si="11"/>
        <v>0.1</v>
      </c>
      <c r="Z128">
        <f t="shared" si="12"/>
        <v>1</v>
      </c>
      <c r="AA128">
        <f t="shared" si="18"/>
        <v>1734.8520000000003</v>
      </c>
      <c r="AB128">
        <f t="shared" si="19"/>
        <v>4303.4220000000005</v>
      </c>
      <c r="AC128">
        <f t="shared" si="20"/>
        <v>2</v>
      </c>
      <c r="AD128" t="str">
        <f t="shared" si="13"/>
        <v>North</v>
      </c>
      <c r="AE128" t="str">
        <f t="shared" si="21"/>
        <v>Clean</v>
      </c>
      <c r="AF128" t="str">
        <f t="shared" si="14"/>
        <v>Standard Class</v>
      </c>
    </row>
    <row r="129" spans="1:32">
      <c r="A129" t="s">
        <v>4371</v>
      </c>
      <c r="B129" s="4">
        <v>45687</v>
      </c>
      <c r="C129" s="4">
        <v>45683</v>
      </c>
      <c r="D129" t="s">
        <v>4372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  <c r="V129" t="str">
        <f t="shared" si="15"/>
        <v>January</v>
      </c>
      <c r="W129" s="5" t="str">
        <f t="shared" si="16"/>
        <v>Invalid</v>
      </c>
      <c r="X129" t="str">
        <f t="shared" si="17"/>
        <v>OK</v>
      </c>
      <c r="Y129">
        <f t="shared" si="11"/>
        <v>0.05</v>
      </c>
      <c r="Z129">
        <f t="shared" si="12"/>
        <v>1</v>
      </c>
      <c r="AA129">
        <f t="shared" si="18"/>
        <v>2256.31</v>
      </c>
      <c r="AB129">
        <f t="shared" si="19"/>
        <v>5774.67</v>
      </c>
      <c r="AC129" s="5">
        <f t="shared" si="20"/>
        <v>-4</v>
      </c>
      <c r="AD129" t="str">
        <f t="shared" si="13"/>
        <v>West</v>
      </c>
      <c r="AE129" t="str">
        <f t="shared" si="21"/>
        <v>Invalid</v>
      </c>
      <c r="AF129" t="str">
        <f t="shared" si="14"/>
        <v>Second Class</v>
      </c>
    </row>
    <row r="130" spans="1:32">
      <c r="A130" t="s">
        <v>4373</v>
      </c>
      <c r="B130" s="4">
        <v>45639</v>
      </c>
      <c r="C130" s="4">
        <v>45642</v>
      </c>
      <c r="D130" t="s">
        <v>4374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  <c r="V130" t="str">
        <f t="shared" si="15"/>
        <v>December</v>
      </c>
      <c r="W130" t="str">
        <f t="shared" si="16"/>
        <v>OK</v>
      </c>
      <c r="X130" t="str">
        <f t="shared" si="17"/>
        <v>OK</v>
      </c>
      <c r="Y130">
        <f t="shared" ref="Y130:Y193" si="22">IF(P130 ="",0,P130)</f>
        <v>0.05</v>
      </c>
      <c r="Z130">
        <f t="shared" ref="Z130:Z193" si="23">COUNTIF(A:A,A130)</f>
        <v>1</v>
      </c>
      <c r="AA130">
        <f t="shared" si="18"/>
        <v>1019.5074999999997</v>
      </c>
      <c r="AB130">
        <f t="shared" si="19"/>
        <v>4386.3874999999998</v>
      </c>
      <c r="AC130">
        <f t="shared" si="20"/>
        <v>3</v>
      </c>
      <c r="AD130" t="str">
        <f t="shared" ref="AD130:AD193" si="24">IF(G130="","Unknown",G130)</f>
        <v>East</v>
      </c>
      <c r="AE130" t="str">
        <f t="shared" si="21"/>
        <v>Clean</v>
      </c>
      <c r="AF130" t="str">
        <f t="shared" ref="AF130:AF193" si="25">IF(M130="","Unknown",M130)</f>
        <v>Standard Class</v>
      </c>
    </row>
    <row r="131" spans="1:32">
      <c r="A131" t="s">
        <v>4375</v>
      </c>
      <c r="B131" s="4">
        <v>45492</v>
      </c>
      <c r="C131" s="4">
        <v>45498</v>
      </c>
      <c r="D131" t="s">
        <v>4376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  <c r="V131" t="str">
        <f t="shared" ref="V131:V194" si="26">TEXT(C131,"MMMM")</f>
        <v>July</v>
      </c>
      <c r="W131" t="str">
        <f t="shared" ref="W131:W194" si="27">IF(B131&lt;C131,"OK","Invalid")</f>
        <v>OK</v>
      </c>
      <c r="X131" t="str">
        <f t="shared" ref="X131:X194" si="28">IF(P131&lt;0,"Negative Discount","OK")</f>
        <v>OK</v>
      </c>
      <c r="Y131">
        <f t="shared" si="22"/>
        <v>0.05</v>
      </c>
      <c r="Z131">
        <f t="shared" si="23"/>
        <v>1</v>
      </c>
      <c r="AA131">
        <f t="shared" ref="AA131:AA194" si="29">AB131-R131</f>
        <v>3090.4285</v>
      </c>
      <c r="AB131">
        <f t="shared" ref="AB131:AB194" si="30">N131*O131*(1-Y131)</f>
        <v>18229.5785</v>
      </c>
      <c r="AC131">
        <f t="shared" ref="AC131:AC194" si="31">C131-B131</f>
        <v>6</v>
      </c>
      <c r="AD131" t="str">
        <f t="shared" si="24"/>
        <v>West</v>
      </c>
      <c r="AE131" t="str">
        <f t="shared" ref="AE131:AE194" si="32">IF(OR(P131&lt;0,P131&gt;1,C131&lt;B131),"Invalid",IF(OR(G131="Unknown",M131="Unknown"),"Warning","Clean"))</f>
        <v>Clean</v>
      </c>
      <c r="AF131" t="str">
        <f t="shared" si="25"/>
        <v>Standard Class</v>
      </c>
    </row>
    <row r="132" spans="1:32">
      <c r="A132" t="s">
        <v>4377</v>
      </c>
      <c r="B132" s="4">
        <v>45318</v>
      </c>
      <c r="C132" s="4">
        <v>45324</v>
      </c>
      <c r="D132" t="s">
        <v>4378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  <c r="V132" t="str">
        <f t="shared" si="26"/>
        <v>February</v>
      </c>
      <c r="W132" t="str">
        <f t="shared" si="27"/>
        <v>OK</v>
      </c>
      <c r="X132" t="str">
        <f t="shared" si="28"/>
        <v>OK</v>
      </c>
      <c r="Y132">
        <f t="shared" si="22"/>
        <v>0.2</v>
      </c>
      <c r="Z132">
        <f t="shared" si="23"/>
        <v>1</v>
      </c>
      <c r="AA132">
        <f t="shared" si="29"/>
        <v>211.95999999999992</v>
      </c>
      <c r="AB132">
        <f t="shared" si="30"/>
        <v>873.68</v>
      </c>
      <c r="AC132">
        <f t="shared" si="31"/>
        <v>6</v>
      </c>
      <c r="AD132" t="str">
        <f t="shared" si="24"/>
        <v>West</v>
      </c>
      <c r="AE132" t="str">
        <f t="shared" si="32"/>
        <v>Clean</v>
      </c>
      <c r="AF132" t="str">
        <f t="shared" si="25"/>
        <v>Same Day</v>
      </c>
    </row>
    <row r="133" spans="1:32">
      <c r="A133" t="s">
        <v>4379</v>
      </c>
      <c r="B133" s="4">
        <v>45929</v>
      </c>
      <c r="C133" s="4">
        <v>45934</v>
      </c>
      <c r="D133" t="s">
        <v>4380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  <c r="V133" t="str">
        <f t="shared" si="26"/>
        <v>October</v>
      </c>
      <c r="W133" t="str">
        <f t="shared" si="27"/>
        <v>OK</v>
      </c>
      <c r="X133" t="str">
        <f t="shared" si="28"/>
        <v>OK</v>
      </c>
      <c r="Y133">
        <f t="shared" si="22"/>
        <v>0.2</v>
      </c>
      <c r="Z133">
        <f t="shared" si="23"/>
        <v>1</v>
      </c>
      <c r="AA133">
        <f t="shared" si="29"/>
        <v>647.66200000000003</v>
      </c>
      <c r="AB133">
        <f t="shared" si="30"/>
        <v>2692.152</v>
      </c>
      <c r="AC133">
        <f t="shared" si="31"/>
        <v>5</v>
      </c>
      <c r="AD133" t="str">
        <f t="shared" si="24"/>
        <v>East</v>
      </c>
      <c r="AE133" t="str">
        <f t="shared" si="32"/>
        <v>Clean</v>
      </c>
      <c r="AF133" t="str">
        <f t="shared" si="25"/>
        <v>Same Day</v>
      </c>
    </row>
    <row r="134" spans="1:32">
      <c r="A134" t="s">
        <v>4381</v>
      </c>
      <c r="B134" s="4">
        <v>45393</v>
      </c>
      <c r="C134" s="4">
        <v>45600</v>
      </c>
      <c r="D134" t="s">
        <v>4382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  <c r="V134" t="str">
        <f t="shared" si="26"/>
        <v>November</v>
      </c>
      <c r="W134" t="str">
        <f t="shared" si="27"/>
        <v>OK</v>
      </c>
      <c r="X134" t="str">
        <f t="shared" si="28"/>
        <v>OK</v>
      </c>
      <c r="Y134">
        <f t="shared" si="22"/>
        <v>0</v>
      </c>
      <c r="Z134">
        <f t="shared" si="23"/>
        <v>1</v>
      </c>
      <c r="AA134">
        <f t="shared" si="29"/>
        <v>409.86000000000013</v>
      </c>
      <c r="AB134">
        <f t="shared" si="30"/>
        <v>1066.1600000000001</v>
      </c>
      <c r="AC134">
        <f t="shared" si="31"/>
        <v>207</v>
      </c>
      <c r="AD134" t="str">
        <f t="shared" si="24"/>
        <v>East</v>
      </c>
      <c r="AE134" t="str">
        <f t="shared" si="32"/>
        <v>Clean</v>
      </c>
      <c r="AF134" t="str">
        <f t="shared" si="25"/>
        <v>First Class</v>
      </c>
    </row>
    <row r="135" spans="1:32">
      <c r="A135" t="s">
        <v>4383</v>
      </c>
      <c r="B135" s="4">
        <v>45639</v>
      </c>
      <c r="C135" s="4">
        <v>45644</v>
      </c>
      <c r="D135" t="s">
        <v>4384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  <c r="V135" t="str">
        <f t="shared" si="26"/>
        <v>December</v>
      </c>
      <c r="W135" t="str">
        <f t="shared" si="27"/>
        <v>OK</v>
      </c>
      <c r="X135" t="str">
        <f t="shared" si="28"/>
        <v>OK</v>
      </c>
      <c r="Y135">
        <f t="shared" si="22"/>
        <v>0.15</v>
      </c>
      <c r="Z135">
        <f t="shared" si="23"/>
        <v>1</v>
      </c>
      <c r="AA135">
        <f t="shared" si="29"/>
        <v>6055.07</v>
      </c>
      <c r="AB135">
        <f t="shared" si="30"/>
        <v>22930.62</v>
      </c>
      <c r="AC135">
        <f t="shared" si="31"/>
        <v>5</v>
      </c>
      <c r="AD135" t="str">
        <f t="shared" si="24"/>
        <v>West</v>
      </c>
      <c r="AE135" t="str">
        <f t="shared" si="32"/>
        <v>Clean</v>
      </c>
      <c r="AF135" t="str">
        <f t="shared" si="25"/>
        <v>Second Class</v>
      </c>
    </row>
    <row r="136" spans="1:32">
      <c r="A136" t="s">
        <v>4385</v>
      </c>
      <c r="B136" s="4">
        <v>45852</v>
      </c>
      <c r="C136" s="4">
        <v>45852</v>
      </c>
      <c r="D136" t="s">
        <v>4386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M136" t="s">
        <v>4187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  <c r="V136" t="str">
        <f t="shared" si="26"/>
        <v>July</v>
      </c>
      <c r="W136" s="5" t="str">
        <f t="shared" si="27"/>
        <v>Invalid</v>
      </c>
      <c r="X136" t="str">
        <f t="shared" si="28"/>
        <v>OK</v>
      </c>
      <c r="Y136">
        <f t="shared" si="22"/>
        <v>0.25</v>
      </c>
      <c r="Z136">
        <f t="shared" si="23"/>
        <v>1</v>
      </c>
      <c r="AA136">
        <f t="shared" si="29"/>
        <v>524.10500000000002</v>
      </c>
      <c r="AB136">
        <f t="shared" si="30"/>
        <v>1436.625</v>
      </c>
      <c r="AC136">
        <f t="shared" si="31"/>
        <v>0</v>
      </c>
      <c r="AD136" t="str">
        <f t="shared" si="24"/>
        <v>East</v>
      </c>
      <c r="AE136" t="str">
        <f t="shared" si="32"/>
        <v>Clean</v>
      </c>
      <c r="AF136" s="5" t="str">
        <f t="shared" si="25"/>
        <v>Unknown</v>
      </c>
    </row>
    <row r="137" spans="1:32">
      <c r="A137" t="s">
        <v>4387</v>
      </c>
      <c r="B137" s="4">
        <v>45893</v>
      </c>
      <c r="C137" s="4">
        <v>45893</v>
      </c>
      <c r="D137" t="s">
        <v>4388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  <c r="V137" t="str">
        <f t="shared" si="26"/>
        <v>August</v>
      </c>
      <c r="W137" s="5" t="str">
        <f t="shared" si="27"/>
        <v>Invalid</v>
      </c>
      <c r="X137" t="str">
        <f t="shared" si="28"/>
        <v>OK</v>
      </c>
      <c r="Y137">
        <f t="shared" si="22"/>
        <v>0</v>
      </c>
      <c r="Z137">
        <f t="shared" si="23"/>
        <v>1</v>
      </c>
      <c r="AA137">
        <f t="shared" si="29"/>
        <v>1473.3300000000002</v>
      </c>
      <c r="AB137">
        <f t="shared" si="30"/>
        <v>3424.78</v>
      </c>
      <c r="AC137">
        <f t="shared" si="31"/>
        <v>0</v>
      </c>
      <c r="AD137" t="str">
        <f t="shared" si="24"/>
        <v>South</v>
      </c>
      <c r="AE137" t="str">
        <f t="shared" si="32"/>
        <v>Clean</v>
      </c>
      <c r="AF137" t="str">
        <f t="shared" si="25"/>
        <v>Standard Class</v>
      </c>
    </row>
    <row r="138" spans="1:32">
      <c r="A138" t="s">
        <v>4389</v>
      </c>
      <c r="B138" s="4">
        <v>45697</v>
      </c>
      <c r="C138" s="4">
        <v>45703</v>
      </c>
      <c r="D138" t="s">
        <v>4390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67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  <c r="V138" t="str">
        <f t="shared" si="26"/>
        <v>February</v>
      </c>
      <c r="W138" t="str">
        <f t="shared" si="27"/>
        <v>OK</v>
      </c>
      <c r="X138" t="str">
        <f t="shared" si="28"/>
        <v>OK</v>
      </c>
      <c r="Y138">
        <f t="shared" si="22"/>
        <v>0.2</v>
      </c>
      <c r="Z138">
        <f t="shared" si="23"/>
        <v>1</v>
      </c>
      <c r="AA138">
        <f t="shared" si="29"/>
        <v>9757.2860000000037</v>
      </c>
      <c r="AB138">
        <f t="shared" si="30"/>
        <v>31178.376000000004</v>
      </c>
      <c r="AC138">
        <f t="shared" si="31"/>
        <v>6</v>
      </c>
      <c r="AD138" t="str">
        <f t="shared" si="24"/>
        <v>East</v>
      </c>
      <c r="AE138" t="str">
        <f t="shared" si="32"/>
        <v>Clean</v>
      </c>
      <c r="AF138" t="str">
        <f t="shared" si="25"/>
        <v>Standard Class</v>
      </c>
    </row>
    <row r="139" spans="1:32">
      <c r="A139" t="s">
        <v>4391</v>
      </c>
      <c r="B139" s="4">
        <v>45901</v>
      </c>
      <c r="C139" s="4">
        <v>45666</v>
      </c>
      <c r="D139" t="s">
        <v>4392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  <c r="V139" t="str">
        <f t="shared" si="26"/>
        <v>January</v>
      </c>
      <c r="W139" s="5" t="str">
        <f t="shared" si="27"/>
        <v>Invalid</v>
      </c>
      <c r="X139" t="str">
        <f t="shared" si="28"/>
        <v>OK</v>
      </c>
      <c r="Y139">
        <f t="shared" si="22"/>
        <v>0.1</v>
      </c>
      <c r="Z139">
        <f t="shared" si="23"/>
        <v>1</v>
      </c>
      <c r="AA139">
        <f t="shared" si="29"/>
        <v>3676.2840000000015</v>
      </c>
      <c r="AB139">
        <f t="shared" si="30"/>
        <v>19202.904000000002</v>
      </c>
      <c r="AC139" s="5">
        <f t="shared" si="31"/>
        <v>-235</v>
      </c>
      <c r="AD139" t="str">
        <f t="shared" si="24"/>
        <v>North</v>
      </c>
      <c r="AE139" t="str">
        <f t="shared" si="32"/>
        <v>Invalid</v>
      </c>
      <c r="AF139" t="str">
        <f t="shared" si="25"/>
        <v>Same Day</v>
      </c>
    </row>
    <row r="140" spans="1:32">
      <c r="A140" t="s">
        <v>4393</v>
      </c>
      <c r="B140" s="4">
        <v>45311</v>
      </c>
      <c r="C140" s="4">
        <v>45317</v>
      </c>
      <c r="D140" t="s">
        <v>4394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  <c r="V140" t="str">
        <f t="shared" si="26"/>
        <v>January</v>
      </c>
      <c r="W140" t="str">
        <f t="shared" si="27"/>
        <v>OK</v>
      </c>
      <c r="X140" t="str">
        <f t="shared" si="28"/>
        <v>OK</v>
      </c>
      <c r="Y140">
        <f t="shared" si="22"/>
        <v>0.25</v>
      </c>
      <c r="Z140">
        <f t="shared" si="23"/>
        <v>1</v>
      </c>
      <c r="AA140">
        <f t="shared" si="29"/>
        <v>9947.5200000000023</v>
      </c>
      <c r="AB140">
        <f t="shared" si="30"/>
        <v>24018.300000000003</v>
      </c>
      <c r="AC140">
        <f t="shared" si="31"/>
        <v>6</v>
      </c>
      <c r="AD140" t="str">
        <f t="shared" si="24"/>
        <v>East</v>
      </c>
      <c r="AE140" t="str">
        <f t="shared" si="32"/>
        <v>Clean</v>
      </c>
      <c r="AF140" t="str">
        <f t="shared" si="25"/>
        <v>Standard Class</v>
      </c>
    </row>
    <row r="141" spans="1:32">
      <c r="A141" t="s">
        <v>4395</v>
      </c>
      <c r="B141" s="4">
        <v>45691</v>
      </c>
      <c r="C141" s="4">
        <v>45723</v>
      </c>
      <c r="D141" t="s">
        <v>4396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  <c r="V141" t="str">
        <f t="shared" si="26"/>
        <v>March</v>
      </c>
      <c r="W141" t="str">
        <f t="shared" si="27"/>
        <v>OK</v>
      </c>
      <c r="X141" t="str">
        <f t="shared" si="28"/>
        <v>OK</v>
      </c>
      <c r="Y141">
        <f t="shared" si="22"/>
        <v>0</v>
      </c>
      <c r="Z141">
        <f t="shared" si="23"/>
        <v>1</v>
      </c>
      <c r="AA141">
        <f t="shared" si="29"/>
        <v>3736.9800000000005</v>
      </c>
      <c r="AB141">
        <f t="shared" si="30"/>
        <v>10301.040000000001</v>
      </c>
      <c r="AC141">
        <f t="shared" si="31"/>
        <v>32</v>
      </c>
      <c r="AD141" t="str">
        <f t="shared" si="24"/>
        <v>South</v>
      </c>
      <c r="AE141" t="str">
        <f t="shared" si="32"/>
        <v>Clean</v>
      </c>
      <c r="AF141" t="str">
        <f t="shared" si="25"/>
        <v>Standard Class</v>
      </c>
    </row>
    <row r="142" spans="1:32">
      <c r="A142" t="s">
        <v>4397</v>
      </c>
      <c r="B142" s="4">
        <v>45443</v>
      </c>
      <c r="C142" s="4">
        <v>45444</v>
      </c>
      <c r="D142" t="s">
        <v>4398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  <c r="V142" t="str">
        <f t="shared" si="26"/>
        <v>June</v>
      </c>
      <c r="W142" t="str">
        <f t="shared" si="27"/>
        <v>OK</v>
      </c>
      <c r="X142" t="str">
        <f t="shared" si="28"/>
        <v>OK</v>
      </c>
      <c r="Y142">
        <f t="shared" si="22"/>
        <v>0</v>
      </c>
      <c r="Z142">
        <f t="shared" si="23"/>
        <v>1</v>
      </c>
      <c r="AA142">
        <f t="shared" si="29"/>
        <v>2139.8900000000012</v>
      </c>
      <c r="AB142">
        <f t="shared" si="30"/>
        <v>8743.6500000000015</v>
      </c>
      <c r="AC142">
        <f t="shared" si="31"/>
        <v>1</v>
      </c>
      <c r="AD142" t="str">
        <f t="shared" si="24"/>
        <v>South</v>
      </c>
      <c r="AE142" t="str">
        <f t="shared" si="32"/>
        <v>Clean</v>
      </c>
      <c r="AF142" t="str">
        <f t="shared" si="25"/>
        <v>Same Day</v>
      </c>
    </row>
    <row r="143" spans="1:32">
      <c r="A143" t="s">
        <v>4399</v>
      </c>
      <c r="B143" s="4">
        <v>45374</v>
      </c>
      <c r="C143" s="4">
        <v>45380</v>
      </c>
      <c r="D143" t="s">
        <v>4400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  <c r="V143" t="str">
        <f t="shared" si="26"/>
        <v>March</v>
      </c>
      <c r="W143" t="str">
        <f t="shared" si="27"/>
        <v>OK</v>
      </c>
      <c r="X143" t="str">
        <f t="shared" si="28"/>
        <v>OK</v>
      </c>
      <c r="Y143">
        <f t="shared" si="22"/>
        <v>0.1</v>
      </c>
      <c r="Z143">
        <f t="shared" si="23"/>
        <v>1</v>
      </c>
      <c r="AA143">
        <f t="shared" si="29"/>
        <v>1136.5169999999998</v>
      </c>
      <c r="AB143">
        <f t="shared" si="30"/>
        <v>3996.027</v>
      </c>
      <c r="AC143">
        <f t="shared" si="31"/>
        <v>6</v>
      </c>
      <c r="AD143" t="str">
        <f t="shared" si="24"/>
        <v>North</v>
      </c>
      <c r="AE143" t="str">
        <f t="shared" si="32"/>
        <v>Clean</v>
      </c>
      <c r="AF143" t="str">
        <f t="shared" si="25"/>
        <v>Same Day</v>
      </c>
    </row>
    <row r="144" spans="1:32">
      <c r="A144" t="s">
        <v>4401</v>
      </c>
      <c r="B144" s="4">
        <v>45381</v>
      </c>
      <c r="C144" s="4">
        <v>45377</v>
      </c>
      <c r="D144" t="s">
        <v>4402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s="6" t="s">
        <v>35</v>
      </c>
      <c r="V144" t="str">
        <f t="shared" si="26"/>
        <v>March</v>
      </c>
      <c r="W144" s="5" t="str">
        <f t="shared" si="27"/>
        <v>Invalid</v>
      </c>
      <c r="X144" t="str">
        <f t="shared" si="28"/>
        <v>OK</v>
      </c>
      <c r="Y144">
        <f t="shared" si="22"/>
        <v>0.15</v>
      </c>
      <c r="Z144" s="5">
        <f t="shared" si="23"/>
        <v>2</v>
      </c>
      <c r="AA144">
        <f t="shared" si="29"/>
        <v>1087.7849999999994</v>
      </c>
      <c r="AB144">
        <f t="shared" si="30"/>
        <v>3857.0449999999996</v>
      </c>
      <c r="AC144" s="5">
        <f t="shared" si="31"/>
        <v>-4</v>
      </c>
      <c r="AD144" t="str">
        <f t="shared" si="24"/>
        <v>North</v>
      </c>
      <c r="AE144" t="str">
        <f t="shared" si="32"/>
        <v>Invalid</v>
      </c>
      <c r="AF144" t="str">
        <f t="shared" si="25"/>
        <v>Second Class</v>
      </c>
    </row>
    <row r="145" spans="1:32">
      <c r="A145" t="s">
        <v>4403</v>
      </c>
      <c r="B145" s="4">
        <v>45375</v>
      </c>
      <c r="C145" s="4">
        <v>45377</v>
      </c>
      <c r="D145" t="s">
        <v>4404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  <c r="V145" t="str">
        <f t="shared" si="26"/>
        <v>March</v>
      </c>
      <c r="W145" t="str">
        <f t="shared" si="27"/>
        <v>OK</v>
      </c>
      <c r="X145" t="str">
        <f t="shared" si="28"/>
        <v>OK</v>
      </c>
      <c r="Y145">
        <f t="shared" si="22"/>
        <v>0.1</v>
      </c>
      <c r="Z145">
        <f t="shared" si="23"/>
        <v>1</v>
      </c>
      <c r="AA145">
        <f t="shared" si="29"/>
        <v>1152.3900000000001</v>
      </c>
      <c r="AB145">
        <f t="shared" si="30"/>
        <v>3068.55</v>
      </c>
      <c r="AC145">
        <f t="shared" si="31"/>
        <v>2</v>
      </c>
      <c r="AD145" t="str">
        <f t="shared" si="24"/>
        <v>West</v>
      </c>
      <c r="AE145" t="str">
        <f t="shared" si="32"/>
        <v>Clean</v>
      </c>
      <c r="AF145" t="str">
        <f t="shared" si="25"/>
        <v>Second Class</v>
      </c>
    </row>
    <row r="146" spans="1:32">
      <c r="A146" t="s">
        <v>4405</v>
      </c>
      <c r="B146" s="4">
        <v>45450</v>
      </c>
      <c r="C146" s="4">
        <v>45458</v>
      </c>
      <c r="D146" t="s">
        <v>4406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  <c r="V146" t="str">
        <f t="shared" si="26"/>
        <v>June</v>
      </c>
      <c r="W146" t="str">
        <f t="shared" si="27"/>
        <v>OK</v>
      </c>
      <c r="X146" t="str">
        <f t="shared" si="28"/>
        <v>OK</v>
      </c>
      <c r="Y146">
        <f t="shared" si="22"/>
        <v>0.25</v>
      </c>
      <c r="Z146">
        <f t="shared" si="23"/>
        <v>1</v>
      </c>
      <c r="AA146">
        <f t="shared" si="29"/>
        <v>4368.1874999999982</v>
      </c>
      <c r="AB146">
        <f t="shared" si="30"/>
        <v>11276.947499999998</v>
      </c>
      <c r="AC146">
        <f t="shared" si="31"/>
        <v>8</v>
      </c>
      <c r="AD146" t="str">
        <f t="shared" si="24"/>
        <v>South</v>
      </c>
      <c r="AE146" t="str">
        <f t="shared" si="32"/>
        <v>Clean</v>
      </c>
      <c r="AF146" t="str">
        <f t="shared" si="25"/>
        <v>First Class</v>
      </c>
    </row>
    <row r="147" spans="1:32">
      <c r="A147" t="s">
        <v>4407</v>
      </c>
      <c r="B147" s="4">
        <v>45758</v>
      </c>
      <c r="C147" s="4">
        <v>45760</v>
      </c>
      <c r="D147" t="s">
        <v>4408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  <c r="V147" t="str">
        <f t="shared" si="26"/>
        <v>April</v>
      </c>
      <c r="W147" t="str">
        <f t="shared" si="27"/>
        <v>OK</v>
      </c>
      <c r="X147" t="str">
        <f t="shared" si="28"/>
        <v>OK</v>
      </c>
      <c r="Y147">
        <f t="shared" si="22"/>
        <v>0.1</v>
      </c>
      <c r="Z147">
        <f t="shared" si="23"/>
        <v>1</v>
      </c>
      <c r="AA147">
        <f t="shared" si="29"/>
        <v>5246.91</v>
      </c>
      <c r="AB147">
        <f t="shared" si="30"/>
        <v>15055.74</v>
      </c>
      <c r="AC147">
        <f t="shared" si="31"/>
        <v>2</v>
      </c>
      <c r="AD147" t="str">
        <f t="shared" si="24"/>
        <v>West</v>
      </c>
      <c r="AE147" t="str">
        <f t="shared" si="32"/>
        <v>Clean</v>
      </c>
      <c r="AF147" t="str">
        <f t="shared" si="25"/>
        <v>Standard Class</v>
      </c>
    </row>
    <row r="148" spans="1:32">
      <c r="A148" t="s">
        <v>4409</v>
      </c>
      <c r="B148" s="4">
        <v>45868</v>
      </c>
      <c r="C148" s="4">
        <v>45665</v>
      </c>
      <c r="D148" t="s">
        <v>4410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  <c r="V148" t="str">
        <f t="shared" si="26"/>
        <v>January</v>
      </c>
      <c r="W148" s="5" t="str">
        <f t="shared" si="27"/>
        <v>Invalid</v>
      </c>
      <c r="X148" t="str">
        <f t="shared" si="28"/>
        <v>OK</v>
      </c>
      <c r="Y148">
        <f t="shared" si="22"/>
        <v>0.1</v>
      </c>
      <c r="Z148">
        <f t="shared" si="23"/>
        <v>1</v>
      </c>
      <c r="AA148">
        <f t="shared" si="29"/>
        <v>4004.9029999999984</v>
      </c>
      <c r="AB148">
        <f t="shared" si="30"/>
        <v>25639.983</v>
      </c>
      <c r="AC148" s="5">
        <f t="shared" si="31"/>
        <v>-203</v>
      </c>
      <c r="AD148" t="str">
        <f t="shared" si="24"/>
        <v>South</v>
      </c>
      <c r="AE148" t="str">
        <f t="shared" si="32"/>
        <v>Invalid</v>
      </c>
      <c r="AF148" t="str">
        <f t="shared" si="25"/>
        <v>Same Day</v>
      </c>
    </row>
    <row r="149" spans="1:32">
      <c r="A149" t="s">
        <v>4411</v>
      </c>
      <c r="B149" s="4">
        <v>45649</v>
      </c>
      <c r="C149" s="4">
        <v>45656</v>
      </c>
      <c r="D149" t="s">
        <v>4412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  <c r="V149" t="str">
        <f t="shared" si="26"/>
        <v>December</v>
      </c>
      <c r="W149" t="str">
        <f t="shared" si="27"/>
        <v>OK</v>
      </c>
      <c r="X149" t="str">
        <f t="shared" si="28"/>
        <v>OK</v>
      </c>
      <c r="Y149">
        <f t="shared" si="22"/>
        <v>0.1</v>
      </c>
      <c r="Z149">
        <f t="shared" si="23"/>
        <v>1</v>
      </c>
      <c r="AA149">
        <f t="shared" si="29"/>
        <v>1035.8700000000001</v>
      </c>
      <c r="AB149">
        <f t="shared" si="30"/>
        <v>2779.92</v>
      </c>
      <c r="AC149">
        <f t="shared" si="31"/>
        <v>7</v>
      </c>
      <c r="AD149" t="str">
        <f t="shared" si="24"/>
        <v>West</v>
      </c>
      <c r="AE149" t="str">
        <f t="shared" si="32"/>
        <v>Clean</v>
      </c>
      <c r="AF149" t="str">
        <f t="shared" si="25"/>
        <v>First Class</v>
      </c>
    </row>
    <row r="150" spans="1:32">
      <c r="A150" t="s">
        <v>4413</v>
      </c>
      <c r="B150" s="4">
        <v>45902</v>
      </c>
      <c r="C150" s="4">
        <v>45701</v>
      </c>
      <c r="D150" t="s">
        <v>4414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M150" t="s">
        <v>4187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  <c r="V150" t="str">
        <f t="shared" si="26"/>
        <v>February</v>
      </c>
      <c r="W150" s="5" t="str">
        <f t="shared" si="27"/>
        <v>Invalid</v>
      </c>
      <c r="X150" t="str">
        <f t="shared" si="28"/>
        <v>OK</v>
      </c>
      <c r="Y150">
        <f t="shared" si="22"/>
        <v>0.25</v>
      </c>
      <c r="Z150">
        <f t="shared" si="23"/>
        <v>1</v>
      </c>
      <c r="AA150">
        <f t="shared" si="29"/>
        <v>2571.9499999999998</v>
      </c>
      <c r="AB150">
        <f t="shared" si="30"/>
        <v>10176.42</v>
      </c>
      <c r="AC150" s="5">
        <f t="shared" si="31"/>
        <v>-201</v>
      </c>
      <c r="AD150" t="str">
        <f t="shared" si="24"/>
        <v>West</v>
      </c>
      <c r="AE150" t="str">
        <f t="shared" si="32"/>
        <v>Invalid</v>
      </c>
      <c r="AF150" s="5" t="str">
        <f t="shared" si="25"/>
        <v>Unknown</v>
      </c>
    </row>
    <row r="151" spans="1:32">
      <c r="A151" t="s">
        <v>4415</v>
      </c>
      <c r="B151" s="4">
        <v>45321</v>
      </c>
      <c r="C151" s="4">
        <v>45321</v>
      </c>
      <c r="D151" t="s">
        <v>4416</v>
      </c>
      <c r="E151" t="s">
        <v>162</v>
      </c>
      <c r="F151" t="s">
        <v>41</v>
      </c>
      <c r="G151" t="s">
        <v>73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  <c r="V151" t="str">
        <f t="shared" si="26"/>
        <v>January</v>
      </c>
      <c r="W151" s="5" t="str">
        <f t="shared" si="27"/>
        <v>Invalid</v>
      </c>
      <c r="X151" t="str">
        <f t="shared" si="28"/>
        <v>OK</v>
      </c>
      <c r="Y151">
        <f t="shared" si="22"/>
        <v>0.25</v>
      </c>
      <c r="Z151">
        <f t="shared" si="23"/>
        <v>1</v>
      </c>
      <c r="AA151">
        <f t="shared" si="29"/>
        <v>4292.8524999999991</v>
      </c>
      <c r="AB151">
        <f t="shared" si="30"/>
        <v>13269.952499999999</v>
      </c>
      <c r="AC151">
        <f t="shared" si="31"/>
        <v>0</v>
      </c>
      <c r="AD151" t="str">
        <f t="shared" si="24"/>
        <v>West</v>
      </c>
      <c r="AE151" t="str">
        <f t="shared" si="32"/>
        <v>Clean</v>
      </c>
      <c r="AF151" t="str">
        <f t="shared" si="25"/>
        <v>Same Day</v>
      </c>
    </row>
    <row r="152" spans="1:32">
      <c r="A152" t="s">
        <v>4417</v>
      </c>
      <c r="B152" s="4">
        <v>45355</v>
      </c>
      <c r="C152" s="4">
        <v>45363</v>
      </c>
      <c r="D152" t="s">
        <v>4418</v>
      </c>
      <c r="E152" t="s">
        <v>61</v>
      </c>
      <c r="F152" t="s">
        <v>26</v>
      </c>
      <c r="G152" t="s">
        <v>4187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  <c r="V152" t="str">
        <f t="shared" si="26"/>
        <v>March</v>
      </c>
      <c r="W152" t="str">
        <f t="shared" si="27"/>
        <v>OK</v>
      </c>
      <c r="X152" t="str">
        <f t="shared" si="28"/>
        <v>OK</v>
      </c>
      <c r="Y152">
        <f t="shared" si="22"/>
        <v>0.1</v>
      </c>
      <c r="Z152">
        <f t="shared" si="23"/>
        <v>1</v>
      </c>
      <c r="AA152">
        <f t="shared" si="29"/>
        <v>341.78799999999978</v>
      </c>
      <c r="AB152">
        <f t="shared" si="30"/>
        <v>1398.7079999999999</v>
      </c>
      <c r="AC152">
        <f t="shared" si="31"/>
        <v>8</v>
      </c>
      <c r="AD152" s="5" t="str">
        <f t="shared" si="24"/>
        <v>Unknown</v>
      </c>
      <c r="AE152" t="str">
        <f t="shared" si="32"/>
        <v>Clean</v>
      </c>
      <c r="AF152" t="str">
        <f t="shared" si="25"/>
        <v>First Class</v>
      </c>
    </row>
    <row r="153" spans="1:32">
      <c r="A153" t="s">
        <v>4419</v>
      </c>
      <c r="B153" s="4">
        <v>45470</v>
      </c>
      <c r="C153" s="4">
        <v>45470</v>
      </c>
      <c r="D153" t="s">
        <v>4420</v>
      </c>
      <c r="E153" t="s">
        <v>93</v>
      </c>
      <c r="F153" t="s">
        <v>115</v>
      </c>
      <c r="G153" t="s">
        <v>4187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  <c r="V153" t="str">
        <f t="shared" si="26"/>
        <v>June</v>
      </c>
      <c r="W153" s="5" t="str">
        <f t="shared" si="27"/>
        <v>Invalid</v>
      </c>
      <c r="X153" t="str">
        <f t="shared" si="28"/>
        <v>OK</v>
      </c>
      <c r="Y153">
        <f t="shared" si="22"/>
        <v>0</v>
      </c>
      <c r="Z153">
        <f t="shared" si="23"/>
        <v>1</v>
      </c>
      <c r="AA153">
        <f t="shared" si="29"/>
        <v>2362.29</v>
      </c>
      <c r="AB153">
        <f t="shared" si="30"/>
        <v>7718.22</v>
      </c>
      <c r="AC153">
        <f t="shared" si="31"/>
        <v>0</v>
      </c>
      <c r="AD153" s="5" t="str">
        <f t="shared" si="24"/>
        <v>Unknown</v>
      </c>
      <c r="AE153" t="str">
        <f t="shared" si="32"/>
        <v>Clean</v>
      </c>
      <c r="AF153" t="str">
        <f t="shared" si="25"/>
        <v>Standard Class</v>
      </c>
    </row>
    <row r="154" spans="1:32">
      <c r="A154" t="s">
        <v>4421</v>
      </c>
      <c r="B154" s="4">
        <v>45457</v>
      </c>
      <c r="C154" s="4">
        <v>45460</v>
      </c>
      <c r="D154" t="s">
        <v>4422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  <c r="V154" t="str">
        <f t="shared" si="26"/>
        <v>June</v>
      </c>
      <c r="W154" t="str">
        <f t="shared" si="27"/>
        <v>OK</v>
      </c>
      <c r="X154" t="str">
        <f t="shared" si="28"/>
        <v>OK</v>
      </c>
      <c r="Y154">
        <f t="shared" si="22"/>
        <v>0.1</v>
      </c>
      <c r="Z154">
        <f t="shared" si="23"/>
        <v>1</v>
      </c>
      <c r="AA154">
        <f t="shared" si="29"/>
        <v>1494.866</v>
      </c>
      <c r="AB154">
        <f t="shared" si="30"/>
        <v>5875.4160000000002</v>
      </c>
      <c r="AC154">
        <f t="shared" si="31"/>
        <v>3</v>
      </c>
      <c r="AD154" t="str">
        <f t="shared" si="24"/>
        <v>South</v>
      </c>
      <c r="AE154" t="str">
        <f t="shared" si="32"/>
        <v>Clean</v>
      </c>
      <c r="AF154" t="str">
        <f t="shared" si="25"/>
        <v>Second Class</v>
      </c>
    </row>
    <row r="155" spans="1:32">
      <c r="A155" t="s">
        <v>4423</v>
      </c>
      <c r="B155" s="4">
        <v>45923</v>
      </c>
      <c r="C155" s="4">
        <v>45925</v>
      </c>
      <c r="D155" t="s">
        <v>4424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  <c r="V155" t="str">
        <f t="shared" si="26"/>
        <v>September</v>
      </c>
      <c r="W155" t="str">
        <f t="shared" si="27"/>
        <v>OK</v>
      </c>
      <c r="X155" t="str">
        <f t="shared" si="28"/>
        <v>OK</v>
      </c>
      <c r="Y155">
        <f t="shared" si="22"/>
        <v>0</v>
      </c>
      <c r="Z155">
        <f t="shared" si="23"/>
        <v>1</v>
      </c>
      <c r="AA155">
        <f t="shared" si="29"/>
        <v>7245.6699999999983</v>
      </c>
      <c r="AB155">
        <f t="shared" si="30"/>
        <v>22962.17</v>
      </c>
      <c r="AC155">
        <f t="shared" si="31"/>
        <v>2</v>
      </c>
      <c r="AD155" t="str">
        <f t="shared" si="24"/>
        <v>East</v>
      </c>
      <c r="AE155" t="str">
        <f t="shared" si="32"/>
        <v>Clean</v>
      </c>
      <c r="AF155" t="str">
        <f t="shared" si="25"/>
        <v>Standard Class</v>
      </c>
    </row>
    <row r="156" spans="1:32">
      <c r="A156" t="s">
        <v>4425</v>
      </c>
      <c r="B156" s="4">
        <v>45628</v>
      </c>
      <c r="C156" s="4">
        <v>45598</v>
      </c>
      <c r="D156" t="s">
        <v>4348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  <c r="V156" t="str">
        <f t="shared" si="26"/>
        <v>November</v>
      </c>
      <c r="W156" s="5" t="str">
        <f t="shared" si="27"/>
        <v>Invalid</v>
      </c>
      <c r="X156" t="str">
        <f t="shared" si="28"/>
        <v>OK</v>
      </c>
      <c r="Y156">
        <f t="shared" si="22"/>
        <v>0.15</v>
      </c>
      <c r="Z156">
        <f t="shared" si="23"/>
        <v>1</v>
      </c>
      <c r="AA156">
        <f t="shared" si="29"/>
        <v>685.47199999999998</v>
      </c>
      <c r="AB156">
        <f t="shared" si="30"/>
        <v>2209.252</v>
      </c>
      <c r="AC156" s="5">
        <f t="shared" si="31"/>
        <v>-30</v>
      </c>
      <c r="AD156" t="str">
        <f t="shared" si="24"/>
        <v>South</v>
      </c>
      <c r="AE156" t="str">
        <f t="shared" si="32"/>
        <v>Invalid</v>
      </c>
      <c r="AF156" t="str">
        <f t="shared" si="25"/>
        <v>Same Day</v>
      </c>
    </row>
    <row r="157" spans="1:32">
      <c r="A157" t="s">
        <v>4426</v>
      </c>
      <c r="B157" s="4">
        <v>45683</v>
      </c>
      <c r="C157" s="4">
        <v>45691</v>
      </c>
      <c r="D157" t="s">
        <v>4427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  <c r="V157" t="str">
        <f t="shared" si="26"/>
        <v>February</v>
      </c>
      <c r="W157" t="str">
        <f t="shared" si="27"/>
        <v>OK</v>
      </c>
      <c r="X157" t="str">
        <f t="shared" si="28"/>
        <v>OK</v>
      </c>
      <c r="Y157">
        <f t="shared" si="22"/>
        <v>0.1</v>
      </c>
      <c r="Z157">
        <f t="shared" si="23"/>
        <v>1</v>
      </c>
      <c r="AA157">
        <f t="shared" si="29"/>
        <v>1839.1640000000007</v>
      </c>
      <c r="AB157">
        <f t="shared" si="30"/>
        <v>7720.1640000000007</v>
      </c>
      <c r="AC157">
        <f t="shared" si="31"/>
        <v>8</v>
      </c>
      <c r="AD157" t="str">
        <f t="shared" si="24"/>
        <v>West</v>
      </c>
      <c r="AE157" t="str">
        <f t="shared" si="32"/>
        <v>Clean</v>
      </c>
      <c r="AF157" t="str">
        <f t="shared" si="25"/>
        <v>Same Day</v>
      </c>
    </row>
    <row r="158" spans="1:32">
      <c r="A158" t="s">
        <v>4428</v>
      </c>
      <c r="B158" s="4">
        <v>45743</v>
      </c>
      <c r="C158" s="4">
        <v>45743</v>
      </c>
      <c r="D158" t="s">
        <v>4429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  <c r="V158" t="str">
        <f t="shared" si="26"/>
        <v>March</v>
      </c>
      <c r="W158" s="5" t="str">
        <f t="shared" si="27"/>
        <v>Invalid</v>
      </c>
      <c r="X158" t="str">
        <f t="shared" si="28"/>
        <v>OK</v>
      </c>
      <c r="Y158">
        <f t="shared" si="22"/>
        <v>0.25</v>
      </c>
      <c r="Z158">
        <f t="shared" si="23"/>
        <v>1</v>
      </c>
      <c r="AA158">
        <f t="shared" si="29"/>
        <v>5385.3225000000011</v>
      </c>
      <c r="AB158">
        <f t="shared" si="30"/>
        <v>12103.192500000001</v>
      </c>
      <c r="AC158">
        <f t="shared" si="31"/>
        <v>0</v>
      </c>
      <c r="AD158" t="str">
        <f t="shared" si="24"/>
        <v>East</v>
      </c>
      <c r="AE158" t="str">
        <f t="shared" si="32"/>
        <v>Clean</v>
      </c>
      <c r="AF158" t="str">
        <f t="shared" si="25"/>
        <v>Second Class</v>
      </c>
    </row>
    <row r="159" spans="1:32">
      <c r="A159" t="s">
        <v>4430</v>
      </c>
      <c r="B159" s="4">
        <v>45587</v>
      </c>
      <c r="C159" s="4">
        <v>45589</v>
      </c>
      <c r="D159" t="s">
        <v>4431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  <c r="V159" t="str">
        <f t="shared" si="26"/>
        <v>October</v>
      </c>
      <c r="W159" t="str">
        <f t="shared" si="27"/>
        <v>OK</v>
      </c>
      <c r="X159" t="str">
        <f t="shared" si="28"/>
        <v>OK</v>
      </c>
      <c r="Y159">
        <f t="shared" si="22"/>
        <v>0.15</v>
      </c>
      <c r="Z159">
        <f t="shared" si="23"/>
        <v>1</v>
      </c>
      <c r="AA159">
        <f t="shared" si="29"/>
        <v>869.24199999999973</v>
      </c>
      <c r="AB159">
        <f t="shared" si="30"/>
        <v>2335.3919999999998</v>
      </c>
      <c r="AC159">
        <f t="shared" si="31"/>
        <v>2</v>
      </c>
      <c r="AD159" t="str">
        <f t="shared" si="24"/>
        <v>South</v>
      </c>
      <c r="AE159" t="str">
        <f t="shared" si="32"/>
        <v>Clean</v>
      </c>
      <c r="AF159" t="str">
        <f t="shared" si="25"/>
        <v>Standard Class</v>
      </c>
    </row>
    <row r="160" spans="1:32">
      <c r="A160" t="s">
        <v>4432</v>
      </c>
      <c r="B160" s="4">
        <v>45544</v>
      </c>
      <c r="C160" s="4">
        <v>45605</v>
      </c>
      <c r="D160" t="s">
        <v>4433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  <c r="V160" t="str">
        <f t="shared" si="26"/>
        <v>November</v>
      </c>
      <c r="W160" t="str">
        <f t="shared" si="27"/>
        <v>OK</v>
      </c>
      <c r="X160" t="str">
        <f t="shared" si="28"/>
        <v>OK</v>
      </c>
      <c r="Y160">
        <f t="shared" si="22"/>
        <v>0.05</v>
      </c>
      <c r="Z160">
        <f t="shared" si="23"/>
        <v>1</v>
      </c>
      <c r="AA160">
        <f t="shared" si="29"/>
        <v>1608.1829999999995</v>
      </c>
      <c r="AB160">
        <f t="shared" si="30"/>
        <v>3989.5629999999996</v>
      </c>
      <c r="AC160">
        <f t="shared" si="31"/>
        <v>61</v>
      </c>
      <c r="AD160" t="str">
        <f t="shared" si="24"/>
        <v>South</v>
      </c>
      <c r="AE160" t="str">
        <f t="shared" si="32"/>
        <v>Clean</v>
      </c>
      <c r="AF160" t="str">
        <f t="shared" si="25"/>
        <v>First Class</v>
      </c>
    </row>
    <row r="161" spans="1:32">
      <c r="A161" t="s">
        <v>4434</v>
      </c>
      <c r="B161" s="4">
        <v>45687</v>
      </c>
      <c r="C161" s="4">
        <v>45692</v>
      </c>
      <c r="D161" t="s">
        <v>4435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  <c r="V161" t="str">
        <f t="shared" si="26"/>
        <v>February</v>
      </c>
      <c r="W161" t="str">
        <f t="shared" si="27"/>
        <v>OK</v>
      </c>
      <c r="X161" t="str">
        <f t="shared" si="28"/>
        <v>OK</v>
      </c>
      <c r="Y161">
        <f t="shared" si="22"/>
        <v>0.15</v>
      </c>
      <c r="Z161">
        <f t="shared" si="23"/>
        <v>1</v>
      </c>
      <c r="AA161">
        <f t="shared" si="29"/>
        <v>8142.9749999999985</v>
      </c>
      <c r="AB161">
        <f t="shared" si="30"/>
        <v>33893.324999999997</v>
      </c>
      <c r="AC161">
        <f t="shared" si="31"/>
        <v>5</v>
      </c>
      <c r="AD161" t="str">
        <f t="shared" si="24"/>
        <v>North</v>
      </c>
      <c r="AE161" t="str">
        <f t="shared" si="32"/>
        <v>Clean</v>
      </c>
      <c r="AF161" t="str">
        <f t="shared" si="25"/>
        <v>Same Day</v>
      </c>
    </row>
    <row r="162" spans="1:32">
      <c r="A162" t="s">
        <v>4436</v>
      </c>
      <c r="B162" s="4">
        <v>45938</v>
      </c>
      <c r="C162" s="4">
        <v>45818</v>
      </c>
      <c r="D162" t="s">
        <v>4437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  <c r="V162" t="str">
        <f t="shared" si="26"/>
        <v>June</v>
      </c>
      <c r="W162" s="5" t="str">
        <f t="shared" si="27"/>
        <v>Invalid</v>
      </c>
      <c r="X162" t="str">
        <f t="shared" si="28"/>
        <v>OK</v>
      </c>
      <c r="Y162">
        <f t="shared" si="22"/>
        <v>0.05</v>
      </c>
      <c r="Z162">
        <f t="shared" si="23"/>
        <v>1</v>
      </c>
      <c r="AA162">
        <f t="shared" si="29"/>
        <v>751.95600000000059</v>
      </c>
      <c r="AB162">
        <f t="shared" si="30"/>
        <v>4789.5960000000005</v>
      </c>
      <c r="AC162" s="5">
        <f t="shared" si="31"/>
        <v>-120</v>
      </c>
      <c r="AD162" t="str">
        <f t="shared" si="24"/>
        <v>West</v>
      </c>
      <c r="AE162" t="str">
        <f t="shared" si="32"/>
        <v>Invalid</v>
      </c>
      <c r="AF162" t="str">
        <f t="shared" si="25"/>
        <v>Second Class</v>
      </c>
    </row>
    <row r="163" spans="1:32">
      <c r="A163" t="s">
        <v>4438</v>
      </c>
      <c r="B163" s="4">
        <v>45862</v>
      </c>
      <c r="C163" s="4">
        <v>45868</v>
      </c>
      <c r="D163" t="s">
        <v>4439</v>
      </c>
      <c r="E163" t="s">
        <v>61</v>
      </c>
      <c r="F163" t="s">
        <v>26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  <c r="V163" t="str">
        <f t="shared" si="26"/>
        <v>July</v>
      </c>
      <c r="W163" t="str">
        <f t="shared" si="27"/>
        <v>OK</v>
      </c>
      <c r="X163" t="str">
        <f t="shared" si="28"/>
        <v>OK</v>
      </c>
      <c r="Y163">
        <f t="shared" si="22"/>
        <v>0</v>
      </c>
      <c r="Z163">
        <f t="shared" si="23"/>
        <v>1</v>
      </c>
      <c r="AA163">
        <f t="shared" si="29"/>
        <v>736.0100000000001</v>
      </c>
      <c r="AB163">
        <f t="shared" si="30"/>
        <v>1643.41</v>
      </c>
      <c r="AC163">
        <f t="shared" si="31"/>
        <v>6</v>
      </c>
      <c r="AD163" t="str">
        <f t="shared" si="24"/>
        <v>West</v>
      </c>
      <c r="AE163" t="str">
        <f t="shared" si="32"/>
        <v>Clean</v>
      </c>
      <c r="AF163" t="str">
        <f t="shared" si="25"/>
        <v>Standard Class</v>
      </c>
    </row>
    <row r="164" spans="1:32">
      <c r="A164" t="s">
        <v>4440</v>
      </c>
      <c r="B164" s="4">
        <v>45538</v>
      </c>
      <c r="C164" s="4">
        <v>45365</v>
      </c>
      <c r="D164" t="s">
        <v>4441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  <c r="V164" t="str">
        <f t="shared" si="26"/>
        <v>March</v>
      </c>
      <c r="W164" s="5" t="str">
        <f t="shared" si="27"/>
        <v>Invalid</v>
      </c>
      <c r="X164" t="str">
        <f t="shared" si="28"/>
        <v>OK</v>
      </c>
      <c r="Y164">
        <f t="shared" si="22"/>
        <v>0</v>
      </c>
      <c r="Z164">
        <f t="shared" si="23"/>
        <v>1</v>
      </c>
      <c r="AA164">
        <f t="shared" si="29"/>
        <v>9358.3100000000013</v>
      </c>
      <c r="AB164">
        <f t="shared" si="30"/>
        <v>35782.720000000001</v>
      </c>
      <c r="AC164" s="5">
        <f t="shared" si="31"/>
        <v>-173</v>
      </c>
      <c r="AD164" t="str">
        <f t="shared" si="24"/>
        <v>West</v>
      </c>
      <c r="AE164" t="str">
        <f t="shared" si="32"/>
        <v>Invalid</v>
      </c>
      <c r="AF164" t="str">
        <f t="shared" si="25"/>
        <v>Second Class</v>
      </c>
    </row>
    <row r="165" spans="1:32">
      <c r="A165" t="s">
        <v>4442</v>
      </c>
      <c r="B165" s="4">
        <v>45921</v>
      </c>
      <c r="C165" s="4">
        <v>45926</v>
      </c>
      <c r="D165" t="s">
        <v>4443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M165" t="s">
        <v>4187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  <c r="V165" t="str">
        <f t="shared" si="26"/>
        <v>September</v>
      </c>
      <c r="W165" t="str">
        <f t="shared" si="27"/>
        <v>OK</v>
      </c>
      <c r="X165" t="str">
        <f t="shared" si="28"/>
        <v>OK</v>
      </c>
      <c r="Y165">
        <f t="shared" si="22"/>
        <v>0.1</v>
      </c>
      <c r="Z165">
        <f t="shared" si="23"/>
        <v>1</v>
      </c>
      <c r="AA165">
        <f t="shared" si="29"/>
        <v>3201.5120000000006</v>
      </c>
      <c r="AB165">
        <f t="shared" si="30"/>
        <v>15679.332</v>
      </c>
      <c r="AC165">
        <f t="shared" si="31"/>
        <v>5</v>
      </c>
      <c r="AD165" t="str">
        <f t="shared" si="24"/>
        <v>West</v>
      </c>
      <c r="AE165" t="str">
        <f t="shared" si="32"/>
        <v>Clean</v>
      </c>
      <c r="AF165" s="5" t="str">
        <f t="shared" si="25"/>
        <v>Unknown</v>
      </c>
    </row>
    <row r="166" spans="1:32">
      <c r="A166" t="s">
        <v>4444</v>
      </c>
      <c r="B166" s="4">
        <v>45909</v>
      </c>
      <c r="C166" s="4">
        <v>45914</v>
      </c>
      <c r="D166" t="s">
        <v>4445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  <c r="V166" t="str">
        <f t="shared" si="26"/>
        <v>September</v>
      </c>
      <c r="W166" t="str">
        <f t="shared" si="27"/>
        <v>OK</v>
      </c>
      <c r="X166" t="str">
        <f t="shared" si="28"/>
        <v>OK</v>
      </c>
      <c r="Y166">
        <f t="shared" si="22"/>
        <v>0.25</v>
      </c>
      <c r="Z166">
        <f t="shared" si="23"/>
        <v>1</v>
      </c>
      <c r="AA166">
        <f t="shared" si="29"/>
        <v>817.82500000000005</v>
      </c>
      <c r="AB166">
        <f t="shared" si="30"/>
        <v>2365.8150000000001</v>
      </c>
      <c r="AC166">
        <f t="shared" si="31"/>
        <v>5</v>
      </c>
      <c r="AD166" t="str">
        <f t="shared" si="24"/>
        <v>East</v>
      </c>
      <c r="AE166" t="str">
        <f t="shared" si="32"/>
        <v>Clean</v>
      </c>
      <c r="AF166" t="str">
        <f t="shared" si="25"/>
        <v>Second Class</v>
      </c>
    </row>
    <row r="167" spans="1:32">
      <c r="A167" t="s">
        <v>4446</v>
      </c>
      <c r="B167" s="4">
        <v>45618</v>
      </c>
      <c r="C167" s="4">
        <v>45625</v>
      </c>
      <c r="D167" t="s">
        <v>4447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  <c r="V167" t="str">
        <f t="shared" si="26"/>
        <v>November</v>
      </c>
      <c r="W167" t="str">
        <f t="shared" si="27"/>
        <v>OK</v>
      </c>
      <c r="X167" t="str">
        <f t="shared" si="28"/>
        <v>OK</v>
      </c>
      <c r="Y167">
        <f t="shared" si="22"/>
        <v>0.25</v>
      </c>
      <c r="Z167">
        <f t="shared" si="23"/>
        <v>1</v>
      </c>
      <c r="AA167">
        <f t="shared" si="29"/>
        <v>3798.0499999999993</v>
      </c>
      <c r="AB167">
        <f t="shared" si="30"/>
        <v>10268.969999999999</v>
      </c>
      <c r="AC167">
        <f t="shared" si="31"/>
        <v>7</v>
      </c>
      <c r="AD167" t="str">
        <f t="shared" si="24"/>
        <v>East</v>
      </c>
      <c r="AE167" t="str">
        <f t="shared" si="32"/>
        <v>Clean</v>
      </c>
      <c r="AF167" t="str">
        <f t="shared" si="25"/>
        <v>Standard Class</v>
      </c>
    </row>
    <row r="168" spans="1:32">
      <c r="A168" t="s">
        <v>4448</v>
      </c>
      <c r="B168" s="4">
        <v>45708</v>
      </c>
      <c r="C168" s="4">
        <v>45714</v>
      </c>
      <c r="D168" t="s">
        <v>4449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30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  <c r="V168" t="str">
        <f t="shared" si="26"/>
        <v>February</v>
      </c>
      <c r="W168" t="str">
        <f t="shared" si="27"/>
        <v>OK</v>
      </c>
      <c r="X168" t="str">
        <f t="shared" si="28"/>
        <v>OK</v>
      </c>
      <c r="Y168">
        <f t="shared" si="22"/>
        <v>0.2</v>
      </c>
      <c r="Z168">
        <f t="shared" si="23"/>
        <v>1</v>
      </c>
      <c r="AA168">
        <f t="shared" si="29"/>
        <v>596.74</v>
      </c>
      <c r="AB168">
        <f t="shared" si="30"/>
        <v>2046.28</v>
      </c>
      <c r="AC168">
        <f t="shared" si="31"/>
        <v>6</v>
      </c>
      <c r="AD168" t="str">
        <f t="shared" si="24"/>
        <v>West</v>
      </c>
      <c r="AE168" t="str">
        <f t="shared" si="32"/>
        <v>Clean</v>
      </c>
      <c r="AF168" t="str">
        <f t="shared" si="25"/>
        <v>First Class</v>
      </c>
    </row>
    <row r="169" spans="1:32">
      <c r="A169" t="s">
        <v>4450</v>
      </c>
      <c r="B169" s="4">
        <v>45887</v>
      </c>
      <c r="C169" s="4">
        <v>45887</v>
      </c>
      <c r="D169" t="s">
        <v>4451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  <c r="V169" t="str">
        <f t="shared" si="26"/>
        <v>August</v>
      </c>
      <c r="W169" s="5" t="str">
        <f t="shared" si="27"/>
        <v>Invalid</v>
      </c>
      <c r="X169" t="str">
        <f t="shared" si="28"/>
        <v>OK</v>
      </c>
      <c r="Y169">
        <f t="shared" si="22"/>
        <v>0.15</v>
      </c>
      <c r="Z169">
        <f t="shared" si="23"/>
        <v>1</v>
      </c>
      <c r="AA169">
        <f t="shared" si="29"/>
        <v>5280.0744999999988</v>
      </c>
      <c r="AB169">
        <f t="shared" si="30"/>
        <v>23186.6145</v>
      </c>
      <c r="AC169">
        <f t="shared" si="31"/>
        <v>0</v>
      </c>
      <c r="AD169" t="str">
        <f t="shared" si="24"/>
        <v>South</v>
      </c>
      <c r="AE169" t="str">
        <f t="shared" si="32"/>
        <v>Clean</v>
      </c>
      <c r="AF169" t="str">
        <f t="shared" si="25"/>
        <v>First Class</v>
      </c>
    </row>
    <row r="170" spans="1:32">
      <c r="A170" t="s">
        <v>4452</v>
      </c>
      <c r="B170" s="4">
        <v>45677</v>
      </c>
      <c r="C170" s="4">
        <v>45680</v>
      </c>
      <c r="D170" t="s">
        <v>4453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  <c r="V170" t="str">
        <f t="shared" si="26"/>
        <v>January</v>
      </c>
      <c r="W170" t="str">
        <f t="shared" si="27"/>
        <v>OK</v>
      </c>
      <c r="X170" t="str">
        <f t="shared" si="28"/>
        <v>OK</v>
      </c>
      <c r="Y170">
        <f t="shared" si="22"/>
        <v>0.2</v>
      </c>
      <c r="Z170">
        <f t="shared" si="23"/>
        <v>1</v>
      </c>
      <c r="AA170">
        <f t="shared" si="29"/>
        <v>531.38999999999987</v>
      </c>
      <c r="AB170">
        <f t="shared" si="30"/>
        <v>2557.08</v>
      </c>
      <c r="AC170">
        <f t="shared" si="31"/>
        <v>3</v>
      </c>
      <c r="AD170" t="str">
        <f t="shared" si="24"/>
        <v>West</v>
      </c>
      <c r="AE170" t="str">
        <f t="shared" si="32"/>
        <v>Clean</v>
      </c>
      <c r="AF170" t="str">
        <f t="shared" si="25"/>
        <v>Same Day</v>
      </c>
    </row>
    <row r="171" spans="1:32">
      <c r="A171" t="s">
        <v>4454</v>
      </c>
      <c r="B171" s="4">
        <v>45913</v>
      </c>
      <c r="C171" s="4">
        <v>45913</v>
      </c>
      <c r="D171" t="s">
        <v>4455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  <c r="V171" t="str">
        <f t="shared" si="26"/>
        <v>September</v>
      </c>
      <c r="W171" s="5" t="str">
        <f t="shared" si="27"/>
        <v>Invalid</v>
      </c>
      <c r="X171" t="str">
        <f t="shared" si="28"/>
        <v>OK</v>
      </c>
      <c r="Y171">
        <f t="shared" si="22"/>
        <v>0.05</v>
      </c>
      <c r="Z171">
        <f t="shared" si="23"/>
        <v>1</v>
      </c>
      <c r="AA171">
        <f t="shared" si="29"/>
        <v>2036.3499999999995</v>
      </c>
      <c r="AB171">
        <f t="shared" si="30"/>
        <v>5577.6399999999994</v>
      </c>
      <c r="AC171">
        <f t="shared" si="31"/>
        <v>0</v>
      </c>
      <c r="AD171" t="str">
        <f t="shared" si="24"/>
        <v>East</v>
      </c>
      <c r="AE171" t="str">
        <f t="shared" si="32"/>
        <v>Clean</v>
      </c>
      <c r="AF171" t="str">
        <f t="shared" si="25"/>
        <v>Standard Class</v>
      </c>
    </row>
    <row r="172" spans="1:32">
      <c r="A172" t="s">
        <v>4456</v>
      </c>
      <c r="B172" s="4">
        <v>45907</v>
      </c>
      <c r="C172" s="4">
        <v>45915</v>
      </c>
      <c r="D172" t="s">
        <v>4457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s="6" t="s">
        <v>35</v>
      </c>
      <c r="V172" t="str">
        <f t="shared" si="26"/>
        <v>September</v>
      </c>
      <c r="W172" t="str">
        <f t="shared" si="27"/>
        <v>OK</v>
      </c>
      <c r="X172" t="str">
        <f t="shared" si="28"/>
        <v>OK</v>
      </c>
      <c r="Y172">
        <f t="shared" si="22"/>
        <v>0</v>
      </c>
      <c r="Z172" s="5">
        <f t="shared" si="23"/>
        <v>2</v>
      </c>
      <c r="AA172">
        <f t="shared" si="29"/>
        <v>1203.96</v>
      </c>
      <c r="AB172">
        <f t="shared" si="30"/>
        <v>5133.96</v>
      </c>
      <c r="AC172">
        <f t="shared" si="31"/>
        <v>8</v>
      </c>
      <c r="AD172" t="str">
        <f t="shared" si="24"/>
        <v>East</v>
      </c>
      <c r="AE172" t="str">
        <f t="shared" si="32"/>
        <v>Clean</v>
      </c>
      <c r="AF172" t="str">
        <f t="shared" si="25"/>
        <v>Standard Class</v>
      </c>
    </row>
    <row r="173" spans="1:32">
      <c r="A173" t="s">
        <v>4458</v>
      </c>
      <c r="B173" s="4">
        <v>45711</v>
      </c>
      <c r="C173" s="4">
        <v>45713</v>
      </c>
      <c r="D173" t="s">
        <v>4459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  <c r="V173" t="str">
        <f t="shared" si="26"/>
        <v>February</v>
      </c>
      <c r="W173" t="str">
        <f t="shared" si="27"/>
        <v>OK</v>
      </c>
      <c r="X173" t="str">
        <f t="shared" si="28"/>
        <v>OK</v>
      </c>
      <c r="Y173">
        <f t="shared" si="22"/>
        <v>0.25</v>
      </c>
      <c r="Z173">
        <f t="shared" si="23"/>
        <v>1</v>
      </c>
      <c r="AA173">
        <f t="shared" si="29"/>
        <v>4631.7125000000015</v>
      </c>
      <c r="AB173">
        <f t="shared" si="30"/>
        <v>15923.512500000001</v>
      </c>
      <c r="AC173">
        <f t="shared" si="31"/>
        <v>2</v>
      </c>
      <c r="AD173" t="str">
        <f t="shared" si="24"/>
        <v>East</v>
      </c>
      <c r="AE173" t="str">
        <f t="shared" si="32"/>
        <v>Clean</v>
      </c>
      <c r="AF173" t="str">
        <f t="shared" si="25"/>
        <v>Same Day</v>
      </c>
    </row>
    <row r="174" spans="1:32">
      <c r="A174" t="s">
        <v>4460</v>
      </c>
      <c r="B174" s="4">
        <v>45871</v>
      </c>
      <c r="C174" s="4">
        <v>45879</v>
      </c>
      <c r="D174" t="s">
        <v>4461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  <c r="V174" t="str">
        <f t="shared" si="26"/>
        <v>August</v>
      </c>
      <c r="W174" t="str">
        <f t="shared" si="27"/>
        <v>OK</v>
      </c>
      <c r="X174" t="str">
        <f t="shared" si="28"/>
        <v>OK</v>
      </c>
      <c r="Y174">
        <f t="shared" si="22"/>
        <v>0.1</v>
      </c>
      <c r="Z174">
        <f t="shared" si="23"/>
        <v>1</v>
      </c>
      <c r="AA174">
        <f t="shared" si="29"/>
        <v>7862.5919999999987</v>
      </c>
      <c r="AB174">
        <f t="shared" si="30"/>
        <v>23997.221999999998</v>
      </c>
      <c r="AC174">
        <f t="shared" si="31"/>
        <v>8</v>
      </c>
      <c r="AD174" t="str">
        <f t="shared" si="24"/>
        <v>North</v>
      </c>
      <c r="AE174" t="str">
        <f t="shared" si="32"/>
        <v>Clean</v>
      </c>
      <c r="AF174" t="str">
        <f t="shared" si="25"/>
        <v>Same Day</v>
      </c>
    </row>
    <row r="175" spans="1:32">
      <c r="A175" t="s">
        <v>4462</v>
      </c>
      <c r="B175" s="4">
        <v>45414</v>
      </c>
      <c r="C175" s="4">
        <v>45420</v>
      </c>
      <c r="D175" t="s">
        <v>4463</v>
      </c>
      <c r="E175" t="s">
        <v>142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  <c r="V175" t="str">
        <f t="shared" si="26"/>
        <v>May</v>
      </c>
      <c r="W175" t="str">
        <f t="shared" si="27"/>
        <v>OK</v>
      </c>
      <c r="X175" t="str">
        <f t="shared" si="28"/>
        <v>OK</v>
      </c>
      <c r="Y175">
        <f t="shared" si="22"/>
        <v>0.25</v>
      </c>
      <c r="Z175">
        <f t="shared" si="23"/>
        <v>1</v>
      </c>
      <c r="AA175">
        <f t="shared" si="29"/>
        <v>348.11750000000006</v>
      </c>
      <c r="AB175">
        <f t="shared" si="30"/>
        <v>1734.1875</v>
      </c>
      <c r="AC175">
        <f t="shared" si="31"/>
        <v>6</v>
      </c>
      <c r="AD175" t="str">
        <f t="shared" si="24"/>
        <v>North</v>
      </c>
      <c r="AE175" t="str">
        <f t="shared" si="32"/>
        <v>Clean</v>
      </c>
      <c r="AF175" t="str">
        <f t="shared" si="25"/>
        <v>Second Class</v>
      </c>
    </row>
    <row r="176" spans="1:32">
      <c r="A176" t="s">
        <v>4464</v>
      </c>
      <c r="B176" s="4">
        <v>45928</v>
      </c>
      <c r="C176" s="4">
        <v>45934</v>
      </c>
      <c r="D176" t="s">
        <v>4465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  <c r="V176" t="str">
        <f t="shared" si="26"/>
        <v>October</v>
      </c>
      <c r="W176" t="str">
        <f t="shared" si="27"/>
        <v>OK</v>
      </c>
      <c r="X176" t="str">
        <f t="shared" si="28"/>
        <v>OK</v>
      </c>
      <c r="Y176">
        <f t="shared" si="22"/>
        <v>0.15</v>
      </c>
      <c r="Z176">
        <f t="shared" si="23"/>
        <v>1</v>
      </c>
      <c r="AA176">
        <f t="shared" si="29"/>
        <v>3495.9529999999995</v>
      </c>
      <c r="AB176">
        <f t="shared" si="30"/>
        <v>8264.7029999999995</v>
      </c>
      <c r="AC176">
        <f t="shared" si="31"/>
        <v>6</v>
      </c>
      <c r="AD176" t="str">
        <f t="shared" si="24"/>
        <v>South</v>
      </c>
      <c r="AE176" t="str">
        <f t="shared" si="32"/>
        <v>Clean</v>
      </c>
      <c r="AF176" t="str">
        <f t="shared" si="25"/>
        <v>First Class</v>
      </c>
    </row>
    <row r="177" spans="1:32">
      <c r="A177" t="s">
        <v>4466</v>
      </c>
      <c r="B177" s="4">
        <v>45318</v>
      </c>
      <c r="C177" s="4">
        <v>45325</v>
      </c>
      <c r="D177" t="s">
        <v>4467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  <c r="V177" t="str">
        <f t="shared" si="26"/>
        <v>February</v>
      </c>
      <c r="W177" t="str">
        <f t="shared" si="27"/>
        <v>OK</v>
      </c>
      <c r="X177" t="str">
        <f t="shared" si="28"/>
        <v>OK</v>
      </c>
      <c r="Y177">
        <f t="shared" si="22"/>
        <v>0.15</v>
      </c>
      <c r="Z177">
        <f t="shared" si="23"/>
        <v>1</v>
      </c>
      <c r="AA177">
        <f t="shared" si="29"/>
        <v>4892.3890000000029</v>
      </c>
      <c r="AB177">
        <f t="shared" si="30"/>
        <v>15906.849000000002</v>
      </c>
      <c r="AC177">
        <f t="shared" si="31"/>
        <v>7</v>
      </c>
      <c r="AD177" t="str">
        <f t="shared" si="24"/>
        <v>East</v>
      </c>
      <c r="AE177" t="str">
        <f t="shared" si="32"/>
        <v>Clean</v>
      </c>
      <c r="AF177" t="str">
        <f t="shared" si="25"/>
        <v>Same Day</v>
      </c>
    </row>
    <row r="178" spans="1:32">
      <c r="A178" t="s">
        <v>4468</v>
      </c>
      <c r="B178" s="4">
        <v>45734</v>
      </c>
      <c r="C178" s="4">
        <v>45742</v>
      </c>
      <c r="D178" t="s">
        <v>4469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  <c r="V178" t="str">
        <f t="shared" si="26"/>
        <v>March</v>
      </c>
      <c r="W178" t="str">
        <f t="shared" si="27"/>
        <v>OK</v>
      </c>
      <c r="X178" t="str">
        <f t="shared" si="28"/>
        <v>OK</v>
      </c>
      <c r="Y178">
        <f t="shared" si="22"/>
        <v>0.15</v>
      </c>
      <c r="Z178">
        <f t="shared" si="23"/>
        <v>1</v>
      </c>
      <c r="AA178">
        <f t="shared" si="29"/>
        <v>10318.371999999999</v>
      </c>
      <c r="AB178">
        <f t="shared" si="30"/>
        <v>24229.011999999999</v>
      </c>
      <c r="AC178">
        <f t="shared" si="31"/>
        <v>8</v>
      </c>
      <c r="AD178" t="str">
        <f t="shared" si="24"/>
        <v>East</v>
      </c>
      <c r="AE178" t="str">
        <f t="shared" si="32"/>
        <v>Clean</v>
      </c>
      <c r="AF178" t="str">
        <f t="shared" si="25"/>
        <v>Standard Class</v>
      </c>
    </row>
    <row r="179" spans="1:32">
      <c r="A179" t="s">
        <v>4470</v>
      </c>
      <c r="B179" s="4">
        <v>45444</v>
      </c>
      <c r="C179" s="4">
        <v>45357</v>
      </c>
      <c r="D179" t="s">
        <v>4471</v>
      </c>
      <c r="E179" t="s">
        <v>168</v>
      </c>
      <c r="F179" t="s">
        <v>115</v>
      </c>
      <c r="G179" t="s">
        <v>4187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  <c r="V179" t="str">
        <f t="shared" si="26"/>
        <v>March</v>
      </c>
      <c r="W179" s="5" t="str">
        <f t="shared" si="27"/>
        <v>Invalid</v>
      </c>
      <c r="X179" t="str">
        <f t="shared" si="28"/>
        <v>OK</v>
      </c>
      <c r="Y179">
        <f t="shared" si="22"/>
        <v>0</v>
      </c>
      <c r="Z179">
        <f t="shared" si="23"/>
        <v>1</v>
      </c>
      <c r="AA179">
        <f t="shared" si="29"/>
        <v>10172.879999999997</v>
      </c>
      <c r="AB179">
        <f t="shared" si="30"/>
        <v>31039.599999999999</v>
      </c>
      <c r="AC179" s="5">
        <f t="shared" si="31"/>
        <v>-87</v>
      </c>
      <c r="AD179" s="5" t="str">
        <f t="shared" si="24"/>
        <v>Unknown</v>
      </c>
      <c r="AE179" t="str">
        <f t="shared" si="32"/>
        <v>Invalid</v>
      </c>
      <c r="AF179" t="str">
        <f t="shared" si="25"/>
        <v>Same Day</v>
      </c>
    </row>
    <row r="180" spans="1:32">
      <c r="A180" t="s">
        <v>4472</v>
      </c>
      <c r="B180" s="4">
        <v>45565</v>
      </c>
      <c r="C180" s="4">
        <v>45565</v>
      </c>
      <c r="D180" t="s">
        <v>4473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  <c r="V180" t="str">
        <f t="shared" si="26"/>
        <v>September</v>
      </c>
      <c r="W180" s="5" t="str">
        <f t="shared" si="27"/>
        <v>Invalid</v>
      </c>
      <c r="X180" t="str">
        <f t="shared" si="28"/>
        <v>OK</v>
      </c>
      <c r="Y180">
        <f t="shared" si="22"/>
        <v>0</v>
      </c>
      <c r="Z180">
        <f t="shared" si="23"/>
        <v>1</v>
      </c>
      <c r="AA180">
        <f t="shared" si="29"/>
        <v>2394.5199999999986</v>
      </c>
      <c r="AB180">
        <f t="shared" si="30"/>
        <v>13126.96</v>
      </c>
      <c r="AC180">
        <f t="shared" si="31"/>
        <v>0</v>
      </c>
      <c r="AD180" t="str">
        <f t="shared" si="24"/>
        <v>South</v>
      </c>
      <c r="AE180" t="str">
        <f t="shared" si="32"/>
        <v>Clean</v>
      </c>
      <c r="AF180" t="str">
        <f t="shared" si="25"/>
        <v>Standard Class</v>
      </c>
    </row>
    <row r="181" spans="1:32">
      <c r="A181" t="s">
        <v>4474</v>
      </c>
      <c r="B181" s="4">
        <v>45366</v>
      </c>
      <c r="C181" s="4">
        <v>45370</v>
      </c>
      <c r="D181" t="s">
        <v>4475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  <c r="V181" t="str">
        <f t="shared" si="26"/>
        <v>March</v>
      </c>
      <c r="W181" t="str">
        <f t="shared" si="27"/>
        <v>OK</v>
      </c>
      <c r="X181" t="str">
        <f t="shared" si="28"/>
        <v>OK</v>
      </c>
      <c r="Y181">
        <f t="shared" si="22"/>
        <v>0.25</v>
      </c>
      <c r="Z181">
        <f t="shared" si="23"/>
        <v>1</v>
      </c>
      <c r="AA181">
        <f t="shared" si="29"/>
        <v>4042.1400000000012</v>
      </c>
      <c r="AB181">
        <f t="shared" si="30"/>
        <v>9558.9000000000015</v>
      </c>
      <c r="AC181">
        <f t="shared" si="31"/>
        <v>4</v>
      </c>
      <c r="AD181" t="str">
        <f t="shared" si="24"/>
        <v>South</v>
      </c>
      <c r="AE181" t="str">
        <f t="shared" si="32"/>
        <v>Clean</v>
      </c>
      <c r="AF181" t="str">
        <f t="shared" si="25"/>
        <v>Standard Class</v>
      </c>
    </row>
    <row r="182" spans="1:32">
      <c r="A182" t="s">
        <v>4476</v>
      </c>
      <c r="B182" s="4">
        <v>45530</v>
      </c>
      <c r="C182" s="4">
        <v>45530</v>
      </c>
      <c r="D182" t="s">
        <v>4477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30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  <c r="V182" t="str">
        <f t="shared" si="26"/>
        <v>August</v>
      </c>
      <c r="W182" s="5" t="str">
        <f t="shared" si="27"/>
        <v>Invalid</v>
      </c>
      <c r="X182" t="str">
        <f t="shared" si="28"/>
        <v>OK</v>
      </c>
      <c r="Y182">
        <f t="shared" si="22"/>
        <v>0.1</v>
      </c>
      <c r="Z182">
        <f t="shared" si="23"/>
        <v>1</v>
      </c>
      <c r="AA182">
        <f t="shared" si="29"/>
        <v>2279.4170000000004</v>
      </c>
      <c r="AB182">
        <f t="shared" si="30"/>
        <v>5320.9170000000004</v>
      </c>
      <c r="AC182">
        <f t="shared" si="31"/>
        <v>0</v>
      </c>
      <c r="AD182" t="str">
        <f t="shared" si="24"/>
        <v>North</v>
      </c>
      <c r="AE182" t="str">
        <f t="shared" si="32"/>
        <v>Clean</v>
      </c>
      <c r="AF182" t="str">
        <f t="shared" si="25"/>
        <v>First Class</v>
      </c>
    </row>
    <row r="183" spans="1:32">
      <c r="A183" t="s">
        <v>4478</v>
      </c>
      <c r="B183" s="4">
        <v>45909</v>
      </c>
      <c r="C183" s="4">
        <v>45910</v>
      </c>
      <c r="D183" t="s">
        <v>4479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  <c r="V183" t="str">
        <f t="shared" si="26"/>
        <v>September</v>
      </c>
      <c r="W183" t="str">
        <f t="shared" si="27"/>
        <v>OK</v>
      </c>
      <c r="X183" t="str">
        <f t="shared" si="28"/>
        <v>OK</v>
      </c>
      <c r="Y183">
        <f t="shared" si="22"/>
        <v>0</v>
      </c>
      <c r="Z183">
        <f t="shared" si="23"/>
        <v>1</v>
      </c>
      <c r="AA183">
        <f t="shared" si="29"/>
        <v>4219.4899999999989</v>
      </c>
      <c r="AB183">
        <f t="shared" si="30"/>
        <v>10205.799999999999</v>
      </c>
      <c r="AC183">
        <f t="shared" si="31"/>
        <v>1</v>
      </c>
      <c r="AD183" t="str">
        <f t="shared" si="24"/>
        <v>South</v>
      </c>
      <c r="AE183" t="str">
        <f t="shared" si="32"/>
        <v>Clean</v>
      </c>
      <c r="AF183" t="str">
        <f t="shared" si="25"/>
        <v>Second Class</v>
      </c>
    </row>
    <row r="184" spans="1:32">
      <c r="A184" t="s">
        <v>4480</v>
      </c>
      <c r="B184" s="4">
        <v>45581</v>
      </c>
      <c r="C184" s="4">
        <v>45581</v>
      </c>
      <c r="D184" t="s">
        <v>4481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  <c r="V184" t="str">
        <f t="shared" si="26"/>
        <v>October</v>
      </c>
      <c r="W184" s="5" t="str">
        <f t="shared" si="27"/>
        <v>Invalid</v>
      </c>
      <c r="X184" t="str">
        <f t="shared" si="28"/>
        <v>OK</v>
      </c>
      <c r="Y184">
        <f t="shared" si="22"/>
        <v>0</v>
      </c>
      <c r="Z184">
        <f t="shared" si="23"/>
        <v>1</v>
      </c>
      <c r="AA184">
        <f t="shared" si="29"/>
        <v>1722.7299999999996</v>
      </c>
      <c r="AB184">
        <f t="shared" si="30"/>
        <v>5430.3899999999994</v>
      </c>
      <c r="AC184">
        <f t="shared" si="31"/>
        <v>0</v>
      </c>
      <c r="AD184" t="str">
        <f t="shared" si="24"/>
        <v>East</v>
      </c>
      <c r="AE184" t="str">
        <f t="shared" si="32"/>
        <v>Clean</v>
      </c>
      <c r="AF184" t="str">
        <f t="shared" si="25"/>
        <v>Standard Class</v>
      </c>
    </row>
    <row r="185" spans="1:32">
      <c r="A185" t="s">
        <v>4482</v>
      </c>
      <c r="B185" s="4">
        <v>45832</v>
      </c>
      <c r="C185" s="4">
        <v>45835</v>
      </c>
      <c r="D185" t="s">
        <v>4483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  <c r="V185" t="str">
        <f t="shared" si="26"/>
        <v>June</v>
      </c>
      <c r="W185" t="str">
        <f t="shared" si="27"/>
        <v>OK</v>
      </c>
      <c r="X185" t="str">
        <f t="shared" si="28"/>
        <v>OK</v>
      </c>
      <c r="Y185">
        <f t="shared" si="22"/>
        <v>0.2</v>
      </c>
      <c r="Z185">
        <f t="shared" si="23"/>
        <v>1</v>
      </c>
      <c r="AA185">
        <f t="shared" si="29"/>
        <v>4579.3260000000009</v>
      </c>
      <c r="AB185">
        <f t="shared" si="30"/>
        <v>12907.216</v>
      </c>
      <c r="AC185">
        <f t="shared" si="31"/>
        <v>3</v>
      </c>
      <c r="AD185" t="str">
        <f t="shared" si="24"/>
        <v>South</v>
      </c>
      <c r="AE185" t="str">
        <f t="shared" si="32"/>
        <v>Clean</v>
      </c>
      <c r="AF185" t="str">
        <f t="shared" si="25"/>
        <v>Standard Class</v>
      </c>
    </row>
    <row r="186" spans="1:32">
      <c r="A186" t="s">
        <v>4484</v>
      </c>
      <c r="B186" s="4">
        <v>45326</v>
      </c>
      <c r="C186" s="4">
        <v>45388</v>
      </c>
      <c r="D186" t="s">
        <v>4485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  <c r="V186" t="str">
        <f t="shared" si="26"/>
        <v>April</v>
      </c>
      <c r="W186" t="str">
        <f t="shared" si="27"/>
        <v>OK</v>
      </c>
      <c r="X186" t="str">
        <f t="shared" si="28"/>
        <v>OK</v>
      </c>
      <c r="Y186">
        <f t="shared" si="22"/>
        <v>0</v>
      </c>
      <c r="Z186">
        <f t="shared" si="23"/>
        <v>1</v>
      </c>
      <c r="AA186">
        <f t="shared" si="29"/>
        <v>756.80000000000007</v>
      </c>
      <c r="AB186">
        <f t="shared" si="30"/>
        <v>1777.96</v>
      </c>
      <c r="AC186">
        <f t="shared" si="31"/>
        <v>62</v>
      </c>
      <c r="AD186" t="str">
        <f t="shared" si="24"/>
        <v>West</v>
      </c>
      <c r="AE186" t="str">
        <f t="shared" si="32"/>
        <v>Clean</v>
      </c>
      <c r="AF186" t="str">
        <f t="shared" si="25"/>
        <v>Standard Class</v>
      </c>
    </row>
    <row r="187" spans="1:32">
      <c r="A187" t="s">
        <v>4486</v>
      </c>
      <c r="B187" s="4">
        <v>45423</v>
      </c>
      <c r="C187" s="4">
        <v>45609</v>
      </c>
      <c r="D187" t="s">
        <v>4487</v>
      </c>
      <c r="E187" t="s">
        <v>61</v>
      </c>
      <c r="F187" t="s">
        <v>26</v>
      </c>
      <c r="G187" t="s">
        <v>4187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  <c r="V187" t="str">
        <f t="shared" si="26"/>
        <v>November</v>
      </c>
      <c r="W187" t="str">
        <f t="shared" si="27"/>
        <v>OK</v>
      </c>
      <c r="X187" t="str">
        <f t="shared" si="28"/>
        <v>OK</v>
      </c>
      <c r="Y187">
        <f t="shared" si="22"/>
        <v>0.2</v>
      </c>
      <c r="Z187">
        <f t="shared" si="23"/>
        <v>1</v>
      </c>
      <c r="AA187">
        <f t="shared" si="29"/>
        <v>267.79200000000014</v>
      </c>
      <c r="AB187">
        <f t="shared" si="30"/>
        <v>1605.0720000000001</v>
      </c>
      <c r="AC187">
        <f t="shared" si="31"/>
        <v>186</v>
      </c>
      <c r="AD187" s="5" t="str">
        <f t="shared" si="24"/>
        <v>Unknown</v>
      </c>
      <c r="AE187" t="str">
        <f t="shared" si="32"/>
        <v>Clean</v>
      </c>
      <c r="AF187" t="str">
        <f t="shared" si="25"/>
        <v>Second Class</v>
      </c>
    </row>
    <row r="188" spans="1:32">
      <c r="A188" t="s">
        <v>4488</v>
      </c>
      <c r="B188" s="4">
        <v>45492</v>
      </c>
      <c r="C188" s="4">
        <v>45493</v>
      </c>
      <c r="D188" t="s">
        <v>4223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  <c r="V188" t="str">
        <f t="shared" si="26"/>
        <v>July</v>
      </c>
      <c r="W188" t="str">
        <f t="shared" si="27"/>
        <v>OK</v>
      </c>
      <c r="X188" t="str">
        <f t="shared" si="28"/>
        <v>OK</v>
      </c>
      <c r="Y188">
        <f t="shared" si="22"/>
        <v>0.05</v>
      </c>
      <c r="Z188">
        <f t="shared" si="23"/>
        <v>1</v>
      </c>
      <c r="AA188">
        <f t="shared" si="29"/>
        <v>3828.7794999999969</v>
      </c>
      <c r="AB188">
        <f t="shared" si="30"/>
        <v>23996.059499999996</v>
      </c>
      <c r="AC188">
        <f t="shared" si="31"/>
        <v>1</v>
      </c>
      <c r="AD188" t="str">
        <f t="shared" si="24"/>
        <v>South</v>
      </c>
      <c r="AE188" t="str">
        <f t="shared" si="32"/>
        <v>Clean</v>
      </c>
      <c r="AF188" t="str">
        <f t="shared" si="25"/>
        <v>First Class</v>
      </c>
    </row>
    <row r="189" spans="1:32">
      <c r="A189" t="s">
        <v>4489</v>
      </c>
      <c r="B189" s="4">
        <v>45662</v>
      </c>
      <c r="C189" s="4">
        <v>45779</v>
      </c>
      <c r="D189" t="s">
        <v>4490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  <c r="V189" t="str">
        <f t="shared" si="26"/>
        <v>May</v>
      </c>
      <c r="W189" t="str">
        <f t="shared" si="27"/>
        <v>OK</v>
      </c>
      <c r="X189" t="str">
        <f t="shared" si="28"/>
        <v>OK</v>
      </c>
      <c r="Y189">
        <f t="shared" si="22"/>
        <v>0</v>
      </c>
      <c r="Z189">
        <f t="shared" si="23"/>
        <v>1</v>
      </c>
      <c r="AA189">
        <f t="shared" si="29"/>
        <v>2501.2599999999993</v>
      </c>
      <c r="AB189">
        <f t="shared" si="30"/>
        <v>8717.2199999999993</v>
      </c>
      <c r="AC189">
        <f t="shared" si="31"/>
        <v>117</v>
      </c>
      <c r="AD189" t="str">
        <f t="shared" si="24"/>
        <v>West</v>
      </c>
      <c r="AE189" t="str">
        <f t="shared" si="32"/>
        <v>Clean</v>
      </c>
      <c r="AF189" t="str">
        <f t="shared" si="25"/>
        <v>Same Day</v>
      </c>
    </row>
    <row r="190" spans="1:32">
      <c r="A190" t="s">
        <v>4491</v>
      </c>
      <c r="B190" s="4">
        <v>45798</v>
      </c>
      <c r="C190" s="4">
        <v>45805</v>
      </c>
      <c r="D190" t="s">
        <v>4492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  <c r="V190" t="str">
        <f t="shared" si="26"/>
        <v>May</v>
      </c>
      <c r="W190" t="str">
        <f t="shared" si="27"/>
        <v>OK</v>
      </c>
      <c r="X190" t="str">
        <f t="shared" si="28"/>
        <v>OK</v>
      </c>
      <c r="Y190">
        <f t="shared" si="22"/>
        <v>0.1</v>
      </c>
      <c r="Z190">
        <f t="shared" si="23"/>
        <v>1</v>
      </c>
      <c r="AA190">
        <f t="shared" si="29"/>
        <v>1484.1360000000004</v>
      </c>
      <c r="AB190">
        <f t="shared" si="30"/>
        <v>6407.2260000000006</v>
      </c>
      <c r="AC190">
        <f t="shared" si="31"/>
        <v>7</v>
      </c>
      <c r="AD190" t="str">
        <f t="shared" si="24"/>
        <v>East</v>
      </c>
      <c r="AE190" t="str">
        <f t="shared" si="32"/>
        <v>Clean</v>
      </c>
      <c r="AF190" t="str">
        <f t="shared" si="25"/>
        <v>Same Day</v>
      </c>
    </row>
    <row r="191" spans="1:32">
      <c r="A191" t="s">
        <v>4493</v>
      </c>
      <c r="B191" s="4">
        <v>45813</v>
      </c>
      <c r="C191" s="4">
        <v>45784</v>
      </c>
      <c r="D191" t="s">
        <v>4494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35</v>
      </c>
      <c r="V191" t="str">
        <f t="shared" si="26"/>
        <v>May</v>
      </c>
      <c r="W191" s="5" t="str">
        <f t="shared" si="27"/>
        <v>Invalid</v>
      </c>
      <c r="X191" t="str">
        <f t="shared" si="28"/>
        <v>OK</v>
      </c>
      <c r="Y191">
        <f t="shared" si="22"/>
        <v>0</v>
      </c>
      <c r="Z191">
        <f t="shared" si="23"/>
        <v>1</v>
      </c>
      <c r="AA191">
        <f t="shared" si="29"/>
        <v>12991.769999999997</v>
      </c>
      <c r="AB191">
        <f t="shared" si="30"/>
        <v>29864.159999999996</v>
      </c>
      <c r="AC191" s="5">
        <f t="shared" si="31"/>
        <v>-29</v>
      </c>
      <c r="AD191" t="str">
        <f t="shared" si="24"/>
        <v>West</v>
      </c>
      <c r="AE191" t="str">
        <f t="shared" si="32"/>
        <v>Invalid</v>
      </c>
      <c r="AF191" t="str">
        <f t="shared" si="25"/>
        <v>First Class</v>
      </c>
    </row>
    <row r="192" spans="1:32">
      <c r="A192" t="s">
        <v>4495</v>
      </c>
      <c r="B192" s="4">
        <v>45767</v>
      </c>
      <c r="C192" s="4">
        <v>45768</v>
      </c>
      <c r="D192" t="s">
        <v>4496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  <c r="V192" t="str">
        <f t="shared" si="26"/>
        <v>April</v>
      </c>
      <c r="W192" t="str">
        <f t="shared" si="27"/>
        <v>OK</v>
      </c>
      <c r="X192" t="str">
        <f t="shared" si="28"/>
        <v>OK</v>
      </c>
      <c r="Y192">
        <f t="shared" si="22"/>
        <v>0.1</v>
      </c>
      <c r="Z192">
        <f t="shared" si="23"/>
        <v>1</v>
      </c>
      <c r="AA192">
        <f t="shared" si="29"/>
        <v>514.92299999999989</v>
      </c>
      <c r="AB192">
        <f t="shared" si="30"/>
        <v>1458.2429999999999</v>
      </c>
      <c r="AC192">
        <f t="shared" si="31"/>
        <v>1</v>
      </c>
      <c r="AD192" t="str">
        <f t="shared" si="24"/>
        <v>South</v>
      </c>
      <c r="AE192" t="str">
        <f t="shared" si="32"/>
        <v>Clean</v>
      </c>
      <c r="AF192" t="str">
        <f t="shared" si="25"/>
        <v>First Class</v>
      </c>
    </row>
    <row r="193" spans="1:32">
      <c r="A193" t="s">
        <v>4497</v>
      </c>
      <c r="B193" s="4">
        <v>45584</v>
      </c>
      <c r="C193" s="4">
        <v>45589</v>
      </c>
      <c r="D193" t="s">
        <v>4498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  <c r="V193" t="str">
        <f t="shared" si="26"/>
        <v>October</v>
      </c>
      <c r="W193" t="str">
        <f t="shared" si="27"/>
        <v>OK</v>
      </c>
      <c r="X193" t="str">
        <f t="shared" si="28"/>
        <v>OK</v>
      </c>
      <c r="Y193">
        <f t="shared" si="22"/>
        <v>0.65</v>
      </c>
      <c r="Z193">
        <f t="shared" si="23"/>
        <v>1</v>
      </c>
      <c r="AA193">
        <f t="shared" si="29"/>
        <v>-10350.040000000001</v>
      </c>
      <c r="AB193">
        <f t="shared" si="30"/>
        <v>9047.64</v>
      </c>
      <c r="AC193">
        <f t="shared" si="31"/>
        <v>5</v>
      </c>
      <c r="AD193" t="str">
        <f t="shared" si="24"/>
        <v>South</v>
      </c>
      <c r="AE193" t="str">
        <f t="shared" si="32"/>
        <v>Clean</v>
      </c>
      <c r="AF193" t="str">
        <f t="shared" si="25"/>
        <v>Second Class</v>
      </c>
    </row>
    <row r="194" spans="1:32">
      <c r="A194" t="s">
        <v>4499</v>
      </c>
      <c r="B194" s="4">
        <v>45547</v>
      </c>
      <c r="C194" s="4">
        <v>45642</v>
      </c>
      <c r="D194" t="s">
        <v>4500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  <c r="V194" t="str">
        <f t="shared" si="26"/>
        <v>December</v>
      </c>
      <c r="W194" t="str">
        <f t="shared" si="27"/>
        <v>OK</v>
      </c>
      <c r="X194" t="str">
        <f t="shared" si="28"/>
        <v>OK</v>
      </c>
      <c r="Y194">
        <f t="shared" ref="Y194:Y257" si="33">IF(P194 ="",0,P194)</f>
        <v>0</v>
      </c>
      <c r="Z194">
        <f t="shared" ref="Z194:Z257" si="34">COUNTIF(A:A,A194)</f>
        <v>1</v>
      </c>
      <c r="AA194">
        <f t="shared" si="29"/>
        <v>1544.0700000000006</v>
      </c>
      <c r="AB194">
        <f t="shared" si="30"/>
        <v>8764.1200000000008</v>
      </c>
      <c r="AC194">
        <f t="shared" si="31"/>
        <v>95</v>
      </c>
      <c r="AD194" t="str">
        <f t="shared" ref="AD194:AD257" si="35">IF(G194="","Unknown",G194)</f>
        <v>West</v>
      </c>
      <c r="AE194" t="str">
        <f t="shared" si="32"/>
        <v>Clean</v>
      </c>
      <c r="AF194" t="str">
        <f t="shared" ref="AF194:AF257" si="36">IF(M194="","Unknown",M194)</f>
        <v>First Class</v>
      </c>
    </row>
    <row r="195" spans="1:32">
      <c r="A195" t="s">
        <v>4501</v>
      </c>
      <c r="B195" s="4">
        <v>45466</v>
      </c>
      <c r="C195" s="4">
        <v>45471</v>
      </c>
      <c r="D195" t="s">
        <v>4502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  <c r="V195" t="str">
        <f t="shared" ref="V195:V258" si="37">TEXT(C195,"MMMM")</f>
        <v>June</v>
      </c>
      <c r="W195" t="str">
        <f t="shared" ref="W195:W258" si="38">IF(B195&lt;C195,"OK","Invalid")</f>
        <v>OK</v>
      </c>
      <c r="X195" t="str">
        <f t="shared" ref="X195:X258" si="39">IF(P195&lt;0,"Negative Discount","OK")</f>
        <v>OK</v>
      </c>
      <c r="Y195">
        <f t="shared" si="33"/>
        <v>0.2</v>
      </c>
      <c r="Z195">
        <f t="shared" si="34"/>
        <v>1</v>
      </c>
      <c r="AA195">
        <f t="shared" ref="AA195:AA258" si="40">AB195-R195</f>
        <v>3378.6040000000003</v>
      </c>
      <c r="AB195">
        <f t="shared" ref="AB195:AB258" si="41">N195*O195*(1-Y195)</f>
        <v>9391.8240000000005</v>
      </c>
      <c r="AC195">
        <f t="shared" ref="AC195:AC258" si="42">C195-B195</f>
        <v>5</v>
      </c>
      <c r="AD195" t="str">
        <f t="shared" si="35"/>
        <v>North</v>
      </c>
      <c r="AE195" t="str">
        <f t="shared" ref="AE195:AE258" si="43">IF(OR(P195&lt;0,P195&gt;1,C195&lt;B195),"Invalid",IF(OR(G195="Unknown",M195="Unknown"),"Warning","Clean"))</f>
        <v>Clean</v>
      </c>
      <c r="AF195" t="str">
        <f t="shared" si="36"/>
        <v>Same Day</v>
      </c>
    </row>
    <row r="196" spans="1:32">
      <c r="A196" t="s">
        <v>4503</v>
      </c>
      <c r="B196" s="4">
        <v>45685</v>
      </c>
      <c r="C196" s="4">
        <v>45688</v>
      </c>
      <c r="D196" t="s">
        <v>4504</v>
      </c>
      <c r="E196" t="s">
        <v>142</v>
      </c>
      <c r="F196" t="s">
        <v>26</v>
      </c>
      <c r="G196" t="s">
        <v>73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  <c r="V196" t="str">
        <f t="shared" si="37"/>
        <v>January</v>
      </c>
      <c r="W196" t="str">
        <f t="shared" si="38"/>
        <v>OK</v>
      </c>
      <c r="X196" t="str">
        <f t="shared" si="39"/>
        <v>OK</v>
      </c>
      <c r="Y196">
        <f t="shared" si="33"/>
        <v>0.05</v>
      </c>
      <c r="Z196">
        <f t="shared" si="34"/>
        <v>1</v>
      </c>
      <c r="AA196">
        <f t="shared" si="40"/>
        <v>1905.1144999999997</v>
      </c>
      <c r="AB196">
        <f t="shared" si="41"/>
        <v>7339.2344999999996</v>
      </c>
      <c r="AC196">
        <f t="shared" si="42"/>
        <v>3</v>
      </c>
      <c r="AD196" t="str">
        <f t="shared" si="35"/>
        <v>West</v>
      </c>
      <c r="AE196" t="str">
        <f t="shared" si="43"/>
        <v>Clean</v>
      </c>
      <c r="AF196" t="str">
        <f t="shared" si="36"/>
        <v>First Class</v>
      </c>
    </row>
    <row r="197" spans="1:32">
      <c r="A197" t="s">
        <v>4505</v>
      </c>
      <c r="B197" s="4">
        <v>45860</v>
      </c>
      <c r="C197" s="4">
        <v>45862</v>
      </c>
      <c r="D197" t="s">
        <v>4506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  <c r="V197" t="str">
        <f t="shared" si="37"/>
        <v>July</v>
      </c>
      <c r="W197" t="str">
        <f t="shared" si="38"/>
        <v>OK</v>
      </c>
      <c r="X197" t="str">
        <f t="shared" si="39"/>
        <v>OK</v>
      </c>
      <c r="Y197">
        <f t="shared" si="33"/>
        <v>0</v>
      </c>
      <c r="Z197">
        <f t="shared" si="34"/>
        <v>1</v>
      </c>
      <c r="AA197">
        <f t="shared" si="40"/>
        <v>2037.3099999999995</v>
      </c>
      <c r="AB197">
        <f t="shared" si="41"/>
        <v>9614.15</v>
      </c>
      <c r="AC197">
        <f t="shared" si="42"/>
        <v>2</v>
      </c>
      <c r="AD197" t="str">
        <f t="shared" si="35"/>
        <v>South</v>
      </c>
      <c r="AE197" t="str">
        <f t="shared" si="43"/>
        <v>Clean</v>
      </c>
      <c r="AF197" t="str">
        <f t="shared" si="36"/>
        <v>Same Day</v>
      </c>
    </row>
    <row r="198" spans="1:32">
      <c r="A198" t="s">
        <v>4507</v>
      </c>
      <c r="B198" s="4">
        <v>45313</v>
      </c>
      <c r="C198" s="4">
        <v>45316</v>
      </c>
      <c r="D198" t="s">
        <v>4508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  <c r="V198" t="str">
        <f t="shared" si="37"/>
        <v>January</v>
      </c>
      <c r="W198" t="str">
        <f t="shared" si="38"/>
        <v>OK</v>
      </c>
      <c r="X198" t="str">
        <f t="shared" si="39"/>
        <v>OK</v>
      </c>
      <c r="Y198">
        <f t="shared" si="33"/>
        <v>0.1</v>
      </c>
      <c r="Z198">
        <f t="shared" si="34"/>
        <v>1</v>
      </c>
      <c r="AA198">
        <f t="shared" si="40"/>
        <v>755.04100000000017</v>
      </c>
      <c r="AB198">
        <f t="shared" si="41"/>
        <v>3272.4810000000002</v>
      </c>
      <c r="AC198">
        <f t="shared" si="42"/>
        <v>3</v>
      </c>
      <c r="AD198" t="str">
        <f t="shared" si="35"/>
        <v>North</v>
      </c>
      <c r="AE198" t="str">
        <f t="shared" si="43"/>
        <v>Clean</v>
      </c>
      <c r="AF198" t="str">
        <f t="shared" si="36"/>
        <v>First Class</v>
      </c>
    </row>
    <row r="199" spans="1:32">
      <c r="A199" t="s">
        <v>4509</v>
      </c>
      <c r="B199" s="4">
        <v>45747</v>
      </c>
      <c r="C199" s="4">
        <v>45754</v>
      </c>
      <c r="D199" t="s">
        <v>4305</v>
      </c>
      <c r="E199" t="s">
        <v>148</v>
      </c>
      <c r="F199" t="s">
        <v>41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  <c r="V199" t="str">
        <f t="shared" si="37"/>
        <v>April</v>
      </c>
      <c r="W199" t="str">
        <f t="shared" si="38"/>
        <v>OK</v>
      </c>
      <c r="X199" t="str">
        <f t="shared" si="39"/>
        <v>OK</v>
      </c>
      <c r="Y199">
        <f t="shared" si="33"/>
        <v>0.15</v>
      </c>
      <c r="Z199">
        <f t="shared" si="34"/>
        <v>1</v>
      </c>
      <c r="AA199">
        <f t="shared" si="40"/>
        <v>3333.6199999999953</v>
      </c>
      <c r="AB199">
        <f t="shared" si="41"/>
        <v>17409.869999999995</v>
      </c>
      <c r="AC199">
        <f t="shared" si="42"/>
        <v>7</v>
      </c>
      <c r="AD199" t="str">
        <f t="shared" si="35"/>
        <v>East</v>
      </c>
      <c r="AE199" t="str">
        <f t="shared" si="43"/>
        <v>Clean</v>
      </c>
      <c r="AF199" t="str">
        <f t="shared" si="36"/>
        <v>Second Class</v>
      </c>
    </row>
    <row r="200" spans="1:32">
      <c r="A200" t="s">
        <v>4510</v>
      </c>
      <c r="B200" s="4">
        <v>45448</v>
      </c>
      <c r="C200" s="4">
        <v>45449</v>
      </c>
      <c r="D200" t="s">
        <v>4511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  <c r="V200" t="str">
        <f t="shared" si="37"/>
        <v>June</v>
      </c>
      <c r="W200" t="str">
        <f t="shared" si="38"/>
        <v>OK</v>
      </c>
      <c r="X200" t="str">
        <f t="shared" si="39"/>
        <v>OK</v>
      </c>
      <c r="Y200">
        <f t="shared" si="33"/>
        <v>0.05</v>
      </c>
      <c r="Z200">
        <f t="shared" si="34"/>
        <v>1</v>
      </c>
      <c r="AA200">
        <f t="shared" si="40"/>
        <v>448.38099999999986</v>
      </c>
      <c r="AB200">
        <f t="shared" si="41"/>
        <v>1125.3509999999999</v>
      </c>
      <c r="AC200">
        <f t="shared" si="42"/>
        <v>1</v>
      </c>
      <c r="AD200" t="str">
        <f t="shared" si="35"/>
        <v>West</v>
      </c>
      <c r="AE200" t="str">
        <f t="shared" si="43"/>
        <v>Clean</v>
      </c>
      <c r="AF200" t="str">
        <f t="shared" si="36"/>
        <v>Second Class</v>
      </c>
    </row>
    <row r="201" spans="1:32">
      <c r="A201" t="s">
        <v>4512</v>
      </c>
      <c r="B201" s="4">
        <v>45629</v>
      </c>
      <c r="C201" s="4">
        <v>45363</v>
      </c>
      <c r="D201" t="s">
        <v>4513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M201" t="s">
        <v>4187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  <c r="V201" t="str">
        <f t="shared" si="37"/>
        <v>March</v>
      </c>
      <c r="W201" s="5" t="str">
        <f t="shared" si="38"/>
        <v>Invalid</v>
      </c>
      <c r="X201" t="str">
        <f t="shared" si="39"/>
        <v>OK</v>
      </c>
      <c r="Y201">
        <f t="shared" si="33"/>
        <v>0.25</v>
      </c>
      <c r="Z201">
        <f t="shared" si="34"/>
        <v>1</v>
      </c>
      <c r="AA201">
        <f t="shared" si="40"/>
        <v>4397.47</v>
      </c>
      <c r="AB201">
        <f t="shared" si="41"/>
        <v>9835.11</v>
      </c>
      <c r="AC201" s="5">
        <f t="shared" si="42"/>
        <v>-266</v>
      </c>
      <c r="AD201" t="str">
        <f t="shared" si="35"/>
        <v>East</v>
      </c>
      <c r="AE201" t="str">
        <f t="shared" si="43"/>
        <v>Invalid</v>
      </c>
      <c r="AF201" s="5" t="str">
        <f t="shared" si="36"/>
        <v>Unknown</v>
      </c>
    </row>
    <row r="202" spans="1:32">
      <c r="A202" t="s">
        <v>4514</v>
      </c>
      <c r="B202" s="4">
        <v>45835</v>
      </c>
      <c r="C202" s="4">
        <v>45843</v>
      </c>
      <c r="D202" t="s">
        <v>4515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  <c r="V202" t="str">
        <f t="shared" si="37"/>
        <v>July</v>
      </c>
      <c r="W202" t="str">
        <f t="shared" si="38"/>
        <v>OK</v>
      </c>
      <c r="X202" t="str">
        <f t="shared" si="39"/>
        <v>OK</v>
      </c>
      <c r="Y202">
        <f t="shared" si="33"/>
        <v>0.1</v>
      </c>
      <c r="Z202">
        <f t="shared" si="34"/>
        <v>1</v>
      </c>
      <c r="AA202">
        <f t="shared" si="40"/>
        <v>3710.9000000000015</v>
      </c>
      <c r="AB202">
        <f t="shared" si="41"/>
        <v>12907.980000000001</v>
      </c>
      <c r="AC202">
        <f t="shared" si="42"/>
        <v>8</v>
      </c>
      <c r="AD202" t="str">
        <f t="shared" si="35"/>
        <v>North</v>
      </c>
      <c r="AE202" t="str">
        <f t="shared" si="43"/>
        <v>Clean</v>
      </c>
      <c r="AF202" t="str">
        <f t="shared" si="36"/>
        <v>First Class</v>
      </c>
    </row>
    <row r="203" spans="1:32">
      <c r="A203" t="s">
        <v>4516</v>
      </c>
      <c r="B203" s="4">
        <v>45864</v>
      </c>
      <c r="C203" s="4">
        <v>45724</v>
      </c>
      <c r="D203" t="s">
        <v>4517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  <c r="V203" t="str">
        <f t="shared" si="37"/>
        <v>March</v>
      </c>
      <c r="W203" s="5" t="str">
        <f t="shared" si="38"/>
        <v>Invalid</v>
      </c>
      <c r="X203" s="5" t="str">
        <f t="shared" si="39"/>
        <v>Negative Discount</v>
      </c>
      <c r="Y203">
        <f t="shared" si="33"/>
        <v>-0.16</v>
      </c>
      <c r="Z203">
        <f t="shared" si="34"/>
        <v>1</v>
      </c>
      <c r="AA203">
        <f t="shared" si="40"/>
        <v>2853.3295999999996</v>
      </c>
      <c r="AB203">
        <f t="shared" si="41"/>
        <v>5808.1895999999997</v>
      </c>
      <c r="AC203" s="5">
        <f t="shared" si="42"/>
        <v>-140</v>
      </c>
      <c r="AD203" t="str">
        <f t="shared" si="35"/>
        <v>West</v>
      </c>
      <c r="AE203" t="str">
        <f t="shared" si="43"/>
        <v>Invalid</v>
      </c>
      <c r="AF203" t="str">
        <f t="shared" si="36"/>
        <v>Second Class</v>
      </c>
    </row>
    <row r="204" spans="1:32">
      <c r="A204" t="s">
        <v>4518</v>
      </c>
      <c r="B204" s="4">
        <v>45744</v>
      </c>
      <c r="C204" s="4">
        <v>45744</v>
      </c>
      <c r="D204" t="s">
        <v>4519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  <c r="V204" t="str">
        <f t="shared" si="37"/>
        <v>March</v>
      </c>
      <c r="W204" s="5" t="str">
        <f t="shared" si="38"/>
        <v>Invalid</v>
      </c>
      <c r="X204" t="str">
        <f t="shared" si="39"/>
        <v>OK</v>
      </c>
      <c r="Y204">
        <f t="shared" si="33"/>
        <v>0.05</v>
      </c>
      <c r="Z204">
        <f t="shared" si="34"/>
        <v>1</v>
      </c>
      <c r="AA204">
        <f t="shared" si="40"/>
        <v>1941.0840000000007</v>
      </c>
      <c r="AB204">
        <f t="shared" si="41"/>
        <v>13231.144</v>
      </c>
      <c r="AC204">
        <f t="shared" si="42"/>
        <v>0</v>
      </c>
      <c r="AD204" t="str">
        <f t="shared" si="35"/>
        <v>West</v>
      </c>
      <c r="AE204" t="str">
        <f t="shared" si="43"/>
        <v>Clean</v>
      </c>
      <c r="AF204" t="str">
        <f t="shared" si="36"/>
        <v>Standard Class</v>
      </c>
    </row>
    <row r="205" spans="1:32">
      <c r="A205" t="s">
        <v>4520</v>
      </c>
      <c r="B205" s="4">
        <v>45379</v>
      </c>
      <c r="C205" s="4">
        <v>45381</v>
      </c>
      <c r="D205" t="s">
        <v>4521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  <c r="V205" t="str">
        <f t="shared" si="37"/>
        <v>March</v>
      </c>
      <c r="W205" t="str">
        <f t="shared" si="38"/>
        <v>OK</v>
      </c>
      <c r="X205" t="str">
        <f t="shared" si="39"/>
        <v>OK</v>
      </c>
      <c r="Y205">
        <f t="shared" si="33"/>
        <v>0.15</v>
      </c>
      <c r="Z205">
        <f t="shared" si="34"/>
        <v>1</v>
      </c>
      <c r="AA205">
        <f t="shared" si="40"/>
        <v>151.24899999999997</v>
      </c>
      <c r="AB205">
        <f t="shared" si="41"/>
        <v>484.78899999999999</v>
      </c>
      <c r="AC205">
        <f t="shared" si="42"/>
        <v>2</v>
      </c>
      <c r="AD205" t="str">
        <f t="shared" si="35"/>
        <v>West</v>
      </c>
      <c r="AE205" t="str">
        <f t="shared" si="43"/>
        <v>Clean</v>
      </c>
      <c r="AF205" t="str">
        <f t="shared" si="36"/>
        <v>Second Class</v>
      </c>
    </row>
    <row r="206" spans="1:32">
      <c r="A206" t="s">
        <v>4522</v>
      </c>
      <c r="B206" s="4">
        <v>45858</v>
      </c>
      <c r="C206" s="4">
        <v>45861</v>
      </c>
      <c r="D206" t="s">
        <v>4523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  <c r="V206" t="str">
        <f t="shared" si="37"/>
        <v>July</v>
      </c>
      <c r="W206" t="str">
        <f t="shared" si="38"/>
        <v>OK</v>
      </c>
      <c r="X206" t="str">
        <f t="shared" si="39"/>
        <v>OK</v>
      </c>
      <c r="Y206">
        <f t="shared" si="33"/>
        <v>0.15</v>
      </c>
      <c r="Z206">
        <f t="shared" si="34"/>
        <v>1</v>
      </c>
      <c r="AA206">
        <f t="shared" si="40"/>
        <v>406.15599999999995</v>
      </c>
      <c r="AB206">
        <f t="shared" si="41"/>
        <v>1624.146</v>
      </c>
      <c r="AC206">
        <f t="shared" si="42"/>
        <v>3</v>
      </c>
      <c r="AD206" t="str">
        <f t="shared" si="35"/>
        <v>East</v>
      </c>
      <c r="AE206" t="str">
        <f t="shared" si="43"/>
        <v>Clean</v>
      </c>
      <c r="AF206" t="str">
        <f t="shared" si="36"/>
        <v>Second Class</v>
      </c>
    </row>
    <row r="207" spans="1:32">
      <c r="A207" t="s">
        <v>4524</v>
      </c>
      <c r="B207" s="4">
        <v>45768</v>
      </c>
      <c r="C207" s="4">
        <v>45773</v>
      </c>
      <c r="D207" t="s">
        <v>4525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30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  <c r="V207" t="str">
        <f t="shared" si="37"/>
        <v>April</v>
      </c>
      <c r="W207" t="str">
        <f t="shared" si="38"/>
        <v>OK</v>
      </c>
      <c r="X207" t="str">
        <f t="shared" si="39"/>
        <v>OK</v>
      </c>
      <c r="Y207">
        <f t="shared" si="33"/>
        <v>0.2</v>
      </c>
      <c r="Z207">
        <f t="shared" si="34"/>
        <v>1</v>
      </c>
      <c r="AA207">
        <f t="shared" si="40"/>
        <v>863.24200000000019</v>
      </c>
      <c r="AB207">
        <f t="shared" si="41"/>
        <v>4193.232</v>
      </c>
      <c r="AC207">
        <f t="shared" si="42"/>
        <v>5</v>
      </c>
      <c r="AD207" t="str">
        <f t="shared" si="35"/>
        <v>West</v>
      </c>
      <c r="AE207" t="str">
        <f t="shared" si="43"/>
        <v>Clean</v>
      </c>
      <c r="AF207" t="str">
        <f t="shared" si="36"/>
        <v>Same Day</v>
      </c>
    </row>
    <row r="208" spans="1:32">
      <c r="A208" t="s">
        <v>4526</v>
      </c>
      <c r="B208" s="4">
        <v>45795</v>
      </c>
      <c r="C208" s="4">
        <v>45797</v>
      </c>
      <c r="D208" t="s">
        <v>4527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  <c r="V208" t="str">
        <f t="shared" si="37"/>
        <v>May</v>
      </c>
      <c r="W208" t="str">
        <f t="shared" si="38"/>
        <v>OK</v>
      </c>
      <c r="X208" t="str">
        <f t="shared" si="39"/>
        <v>OK</v>
      </c>
      <c r="Y208">
        <f t="shared" si="33"/>
        <v>0</v>
      </c>
      <c r="Z208">
        <f t="shared" si="34"/>
        <v>1</v>
      </c>
      <c r="AA208">
        <f t="shared" si="40"/>
        <v>143.88</v>
      </c>
      <c r="AB208">
        <f t="shared" si="41"/>
        <v>430.26</v>
      </c>
      <c r="AC208">
        <f t="shared" si="42"/>
        <v>2</v>
      </c>
      <c r="AD208" t="str">
        <f t="shared" si="35"/>
        <v>North</v>
      </c>
      <c r="AE208" t="str">
        <f t="shared" si="43"/>
        <v>Clean</v>
      </c>
      <c r="AF208" t="str">
        <f t="shared" si="36"/>
        <v>First Class</v>
      </c>
    </row>
    <row r="209" spans="1:32">
      <c r="A209" t="s">
        <v>4528</v>
      </c>
      <c r="B209" s="4">
        <v>45572</v>
      </c>
      <c r="C209" s="4">
        <v>45489</v>
      </c>
      <c r="D209" t="s">
        <v>4529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  <c r="V209" t="str">
        <f t="shared" si="37"/>
        <v>July</v>
      </c>
      <c r="W209" s="5" t="str">
        <f t="shared" si="38"/>
        <v>Invalid</v>
      </c>
      <c r="X209" t="str">
        <f t="shared" si="39"/>
        <v>OK</v>
      </c>
      <c r="Y209">
        <f t="shared" si="33"/>
        <v>0.2</v>
      </c>
      <c r="Z209">
        <f t="shared" si="34"/>
        <v>1</v>
      </c>
      <c r="AA209">
        <f t="shared" si="40"/>
        <v>756.31000000000029</v>
      </c>
      <c r="AB209">
        <f t="shared" si="41"/>
        <v>1752.7200000000003</v>
      </c>
      <c r="AC209" s="5">
        <f t="shared" si="42"/>
        <v>-83</v>
      </c>
      <c r="AD209" t="str">
        <f t="shared" si="35"/>
        <v>West</v>
      </c>
      <c r="AE209" t="str">
        <f t="shared" si="43"/>
        <v>Invalid</v>
      </c>
      <c r="AF209" t="str">
        <f t="shared" si="36"/>
        <v>Second Class</v>
      </c>
    </row>
    <row r="210" spans="1:32">
      <c r="A210" t="s">
        <v>4530</v>
      </c>
      <c r="B210" s="4">
        <v>45837</v>
      </c>
      <c r="C210" s="4">
        <v>45843</v>
      </c>
      <c r="D210" t="s">
        <v>4531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  <c r="V210" t="str">
        <f t="shared" si="37"/>
        <v>July</v>
      </c>
      <c r="W210" t="str">
        <f t="shared" si="38"/>
        <v>OK</v>
      </c>
      <c r="X210" t="str">
        <f t="shared" si="39"/>
        <v>OK</v>
      </c>
      <c r="Y210">
        <f t="shared" si="33"/>
        <v>0</v>
      </c>
      <c r="Z210">
        <f t="shared" si="34"/>
        <v>1</v>
      </c>
      <c r="AA210">
        <f t="shared" si="40"/>
        <v>364.92000000000007</v>
      </c>
      <c r="AB210">
        <f t="shared" si="41"/>
        <v>999.83</v>
      </c>
      <c r="AC210">
        <f t="shared" si="42"/>
        <v>6</v>
      </c>
      <c r="AD210" t="str">
        <f t="shared" si="35"/>
        <v>North</v>
      </c>
      <c r="AE210" t="str">
        <f t="shared" si="43"/>
        <v>Clean</v>
      </c>
      <c r="AF210" t="str">
        <f t="shared" si="36"/>
        <v>Same Day</v>
      </c>
    </row>
    <row r="211" spans="1:32">
      <c r="A211" t="s">
        <v>4532</v>
      </c>
      <c r="B211" s="4">
        <v>45882</v>
      </c>
      <c r="C211" s="4">
        <v>45883</v>
      </c>
      <c r="D211" t="s">
        <v>4533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  <c r="V211" t="str">
        <f t="shared" si="37"/>
        <v>August</v>
      </c>
      <c r="W211" t="str">
        <f t="shared" si="38"/>
        <v>OK</v>
      </c>
      <c r="X211" t="str">
        <f t="shared" si="39"/>
        <v>OK</v>
      </c>
      <c r="Y211">
        <f t="shared" si="33"/>
        <v>0.1</v>
      </c>
      <c r="Z211">
        <f t="shared" si="34"/>
        <v>1</v>
      </c>
      <c r="AA211">
        <f t="shared" si="40"/>
        <v>2365.4579999999996</v>
      </c>
      <c r="AB211">
        <f t="shared" si="41"/>
        <v>7006.3379999999997</v>
      </c>
      <c r="AC211">
        <f t="shared" si="42"/>
        <v>1</v>
      </c>
      <c r="AD211" t="str">
        <f t="shared" si="35"/>
        <v>South</v>
      </c>
      <c r="AE211" t="str">
        <f t="shared" si="43"/>
        <v>Clean</v>
      </c>
      <c r="AF211" t="str">
        <f t="shared" si="36"/>
        <v>First Class</v>
      </c>
    </row>
    <row r="212" spans="1:32">
      <c r="A212" t="s">
        <v>4534</v>
      </c>
      <c r="B212" s="4">
        <v>45366</v>
      </c>
      <c r="C212" s="4">
        <v>45369</v>
      </c>
      <c r="D212" t="s">
        <v>4535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  <c r="V212" t="str">
        <f t="shared" si="37"/>
        <v>March</v>
      </c>
      <c r="W212" t="str">
        <f t="shared" si="38"/>
        <v>OK</v>
      </c>
      <c r="X212" t="str">
        <f t="shared" si="39"/>
        <v>OK</v>
      </c>
      <c r="Y212">
        <f t="shared" si="33"/>
        <v>0</v>
      </c>
      <c r="Z212">
        <f t="shared" si="34"/>
        <v>1</v>
      </c>
      <c r="AA212">
        <f t="shared" si="40"/>
        <v>1194.2899999999995</v>
      </c>
      <c r="AB212">
        <f t="shared" si="41"/>
        <v>4131.3599999999997</v>
      </c>
      <c r="AC212">
        <f t="shared" si="42"/>
        <v>3</v>
      </c>
      <c r="AD212" t="str">
        <f t="shared" si="35"/>
        <v>South</v>
      </c>
      <c r="AE212" t="str">
        <f t="shared" si="43"/>
        <v>Clean</v>
      </c>
      <c r="AF212" t="str">
        <f t="shared" si="36"/>
        <v>Second Class</v>
      </c>
    </row>
    <row r="213" spans="1:32">
      <c r="A213" t="s">
        <v>4536</v>
      </c>
      <c r="B213" s="4">
        <v>45428</v>
      </c>
      <c r="C213" s="4">
        <v>45429</v>
      </c>
      <c r="D213" t="s">
        <v>4537</v>
      </c>
      <c r="E213" t="s">
        <v>180</v>
      </c>
      <c r="F213" t="s">
        <v>108</v>
      </c>
      <c r="G213" t="s">
        <v>42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  <c r="V213" t="str">
        <f t="shared" si="37"/>
        <v>May</v>
      </c>
      <c r="W213" t="str">
        <f t="shared" si="38"/>
        <v>OK</v>
      </c>
      <c r="X213" t="str">
        <f t="shared" si="39"/>
        <v>OK</v>
      </c>
      <c r="Y213">
        <f t="shared" si="33"/>
        <v>0.2</v>
      </c>
      <c r="Z213">
        <f t="shared" si="34"/>
        <v>1</v>
      </c>
      <c r="AA213">
        <f t="shared" si="40"/>
        <v>4135.239999999998</v>
      </c>
      <c r="AB213">
        <f t="shared" si="41"/>
        <v>27020.48</v>
      </c>
      <c r="AC213">
        <f t="shared" si="42"/>
        <v>1</v>
      </c>
      <c r="AD213" t="str">
        <f t="shared" si="35"/>
        <v>East</v>
      </c>
      <c r="AE213" t="str">
        <f t="shared" si="43"/>
        <v>Clean</v>
      </c>
      <c r="AF213" t="str">
        <f t="shared" si="36"/>
        <v>Second Class</v>
      </c>
    </row>
    <row r="214" spans="1:32">
      <c r="A214" t="s">
        <v>4538</v>
      </c>
      <c r="B214" s="4">
        <v>45556</v>
      </c>
      <c r="C214" s="4">
        <v>45556</v>
      </c>
      <c r="D214" t="s">
        <v>4539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  <c r="V214" t="str">
        <f t="shared" si="37"/>
        <v>September</v>
      </c>
      <c r="W214" s="5" t="str">
        <f t="shared" si="38"/>
        <v>Invalid</v>
      </c>
      <c r="X214" t="str">
        <f t="shared" si="39"/>
        <v>OK</v>
      </c>
      <c r="Y214">
        <f t="shared" si="33"/>
        <v>0.15</v>
      </c>
      <c r="Z214">
        <f t="shared" si="34"/>
        <v>1</v>
      </c>
      <c r="AA214">
        <f t="shared" si="40"/>
        <v>83.909999999999968</v>
      </c>
      <c r="AB214">
        <f t="shared" si="41"/>
        <v>364.65</v>
      </c>
      <c r="AC214">
        <f t="shared" si="42"/>
        <v>0</v>
      </c>
      <c r="AD214" t="str">
        <f t="shared" si="35"/>
        <v>East</v>
      </c>
      <c r="AE214" t="str">
        <f t="shared" si="43"/>
        <v>Clean</v>
      </c>
      <c r="AF214" t="str">
        <f t="shared" si="36"/>
        <v>Same Day</v>
      </c>
    </row>
    <row r="215" spans="1:32">
      <c r="A215" t="s">
        <v>4540</v>
      </c>
      <c r="B215" s="4">
        <v>45427</v>
      </c>
      <c r="C215" s="4">
        <v>45433</v>
      </c>
      <c r="D215" t="s">
        <v>4541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  <c r="V215" t="str">
        <f t="shared" si="37"/>
        <v>May</v>
      </c>
      <c r="W215" t="str">
        <f t="shared" si="38"/>
        <v>OK</v>
      </c>
      <c r="X215" t="str">
        <f t="shared" si="39"/>
        <v>OK</v>
      </c>
      <c r="Y215">
        <f t="shared" si="33"/>
        <v>0.2</v>
      </c>
      <c r="Z215">
        <f t="shared" si="34"/>
        <v>1</v>
      </c>
      <c r="AA215">
        <f t="shared" si="40"/>
        <v>2570.6759999999995</v>
      </c>
      <c r="AB215">
        <f t="shared" si="41"/>
        <v>13864.735999999999</v>
      </c>
      <c r="AC215">
        <f t="shared" si="42"/>
        <v>6</v>
      </c>
      <c r="AD215" t="str">
        <f t="shared" si="35"/>
        <v>East</v>
      </c>
      <c r="AE215" t="str">
        <f t="shared" si="43"/>
        <v>Clean</v>
      </c>
      <c r="AF215" t="str">
        <f t="shared" si="36"/>
        <v>Second Class</v>
      </c>
    </row>
    <row r="216" spans="1:32">
      <c r="A216" t="s">
        <v>4542</v>
      </c>
      <c r="B216" s="4">
        <v>45368</v>
      </c>
      <c r="C216" s="4">
        <v>45374</v>
      </c>
      <c r="D216" t="s">
        <v>4543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  <c r="V216" t="str">
        <f t="shared" si="37"/>
        <v>March</v>
      </c>
      <c r="W216" t="str">
        <f t="shared" si="38"/>
        <v>OK</v>
      </c>
      <c r="X216" t="str">
        <f t="shared" si="39"/>
        <v>OK</v>
      </c>
      <c r="Y216">
        <f t="shared" si="33"/>
        <v>0.05</v>
      </c>
      <c r="Z216">
        <f t="shared" si="34"/>
        <v>1</v>
      </c>
      <c r="AA216">
        <f t="shared" si="40"/>
        <v>138.31299999999999</v>
      </c>
      <c r="AB216">
        <f t="shared" si="41"/>
        <v>707.31299999999999</v>
      </c>
      <c r="AC216">
        <f t="shared" si="42"/>
        <v>6</v>
      </c>
      <c r="AD216" t="str">
        <f t="shared" si="35"/>
        <v>North</v>
      </c>
      <c r="AE216" t="str">
        <f t="shared" si="43"/>
        <v>Clean</v>
      </c>
      <c r="AF216" t="str">
        <f t="shared" si="36"/>
        <v>First Class</v>
      </c>
    </row>
    <row r="217" spans="1:32">
      <c r="A217" t="s">
        <v>4544</v>
      </c>
      <c r="B217" s="4">
        <v>45352</v>
      </c>
      <c r="C217" s="4">
        <v>45355</v>
      </c>
      <c r="D217" t="s">
        <v>4545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  <c r="V217" t="str">
        <f t="shared" si="37"/>
        <v>March</v>
      </c>
      <c r="W217" t="str">
        <f t="shared" si="38"/>
        <v>OK</v>
      </c>
      <c r="X217" t="str">
        <f t="shared" si="39"/>
        <v>OK</v>
      </c>
      <c r="Y217">
        <f t="shared" si="33"/>
        <v>0.25</v>
      </c>
      <c r="Z217">
        <f t="shared" si="34"/>
        <v>1</v>
      </c>
      <c r="AA217">
        <f t="shared" si="40"/>
        <v>8298.3900000000012</v>
      </c>
      <c r="AB217">
        <f t="shared" si="41"/>
        <v>19214.400000000001</v>
      </c>
      <c r="AC217">
        <f t="shared" si="42"/>
        <v>3</v>
      </c>
      <c r="AD217" t="str">
        <f t="shared" si="35"/>
        <v>West</v>
      </c>
      <c r="AE217" t="str">
        <f t="shared" si="43"/>
        <v>Clean</v>
      </c>
      <c r="AF217" t="str">
        <f t="shared" si="36"/>
        <v>First Class</v>
      </c>
    </row>
    <row r="218" spans="1:32">
      <c r="A218" t="s">
        <v>4546</v>
      </c>
      <c r="B218" s="4">
        <v>45934</v>
      </c>
      <c r="C218" s="4">
        <v>45762</v>
      </c>
      <c r="D218" t="s">
        <v>4547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  <c r="V218" t="str">
        <f t="shared" si="37"/>
        <v>April</v>
      </c>
      <c r="W218" s="5" t="str">
        <f t="shared" si="38"/>
        <v>Invalid</v>
      </c>
      <c r="X218" t="str">
        <f t="shared" si="39"/>
        <v>OK</v>
      </c>
      <c r="Y218">
        <f t="shared" si="33"/>
        <v>0.25</v>
      </c>
      <c r="Z218">
        <f t="shared" si="34"/>
        <v>1</v>
      </c>
      <c r="AA218">
        <f t="shared" si="40"/>
        <v>3396.3099999999995</v>
      </c>
      <c r="AB218">
        <f t="shared" si="41"/>
        <v>11039.22</v>
      </c>
      <c r="AC218" s="5">
        <f t="shared" si="42"/>
        <v>-172</v>
      </c>
      <c r="AD218" t="str">
        <f t="shared" si="35"/>
        <v>West</v>
      </c>
      <c r="AE218" t="str">
        <f t="shared" si="43"/>
        <v>Invalid</v>
      </c>
      <c r="AF218" t="str">
        <f t="shared" si="36"/>
        <v>Standard Class</v>
      </c>
    </row>
    <row r="219" spans="1:32">
      <c r="A219" t="s">
        <v>4548</v>
      </c>
      <c r="B219" s="4">
        <v>45748</v>
      </c>
      <c r="C219" s="4">
        <v>45873</v>
      </c>
      <c r="D219" t="s">
        <v>4549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  <c r="V219" t="str">
        <f t="shared" si="37"/>
        <v>August</v>
      </c>
      <c r="W219" t="str">
        <f t="shared" si="38"/>
        <v>OK</v>
      </c>
      <c r="X219" t="str">
        <f t="shared" si="39"/>
        <v>OK</v>
      </c>
      <c r="Y219">
        <f t="shared" si="33"/>
        <v>0.1</v>
      </c>
      <c r="Z219">
        <f t="shared" si="34"/>
        <v>1</v>
      </c>
      <c r="AA219">
        <f t="shared" si="40"/>
        <v>1198.96</v>
      </c>
      <c r="AB219">
        <f t="shared" si="41"/>
        <v>4595.76</v>
      </c>
      <c r="AC219">
        <f t="shared" si="42"/>
        <v>125</v>
      </c>
      <c r="AD219" t="str">
        <f t="shared" si="35"/>
        <v>East</v>
      </c>
      <c r="AE219" t="str">
        <f t="shared" si="43"/>
        <v>Clean</v>
      </c>
      <c r="AF219" t="str">
        <f t="shared" si="36"/>
        <v>Second Class</v>
      </c>
    </row>
    <row r="220" spans="1:32">
      <c r="A220" t="s">
        <v>4550</v>
      </c>
      <c r="B220" s="4">
        <v>45714</v>
      </c>
      <c r="C220" s="4">
        <v>45715</v>
      </c>
      <c r="D220" t="s">
        <v>4551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  <c r="V220" t="str">
        <f t="shared" si="37"/>
        <v>February</v>
      </c>
      <c r="W220" t="str">
        <f t="shared" si="38"/>
        <v>OK</v>
      </c>
      <c r="X220" t="str">
        <f t="shared" si="39"/>
        <v>OK</v>
      </c>
      <c r="Y220">
        <f t="shared" si="33"/>
        <v>0</v>
      </c>
      <c r="Z220">
        <f t="shared" si="34"/>
        <v>1</v>
      </c>
      <c r="AA220">
        <f t="shared" si="40"/>
        <v>534.46999999999991</v>
      </c>
      <c r="AB220">
        <f t="shared" si="41"/>
        <v>1291.3999999999999</v>
      </c>
      <c r="AC220">
        <f t="shared" si="42"/>
        <v>1</v>
      </c>
      <c r="AD220" t="str">
        <f t="shared" si="35"/>
        <v>West</v>
      </c>
      <c r="AE220" t="str">
        <f t="shared" si="43"/>
        <v>Clean</v>
      </c>
      <c r="AF220" t="str">
        <f t="shared" si="36"/>
        <v>Standard Class</v>
      </c>
    </row>
    <row r="221" spans="1:32">
      <c r="A221" t="s">
        <v>4552</v>
      </c>
      <c r="B221" s="4">
        <v>45461</v>
      </c>
      <c r="C221" s="4">
        <v>45462</v>
      </c>
      <c r="D221" t="s">
        <v>4553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>
        <v>0.85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  <c r="V221" t="str">
        <f t="shared" si="37"/>
        <v>June</v>
      </c>
      <c r="W221" t="str">
        <f t="shared" si="38"/>
        <v>OK</v>
      </c>
      <c r="X221" t="str">
        <f t="shared" si="39"/>
        <v>OK</v>
      </c>
      <c r="Y221">
        <f t="shared" si="33"/>
        <v>0.85</v>
      </c>
      <c r="Z221">
        <f t="shared" si="34"/>
        <v>1</v>
      </c>
      <c r="AA221">
        <f t="shared" si="40"/>
        <v>-124.97299999999998</v>
      </c>
      <c r="AB221">
        <f t="shared" si="41"/>
        <v>36.447000000000003</v>
      </c>
      <c r="AC221">
        <f t="shared" si="42"/>
        <v>1</v>
      </c>
      <c r="AD221" t="str">
        <f t="shared" si="35"/>
        <v>East</v>
      </c>
      <c r="AE221" t="str">
        <f t="shared" si="43"/>
        <v>Clean</v>
      </c>
      <c r="AF221" t="str">
        <f t="shared" si="36"/>
        <v>First Class</v>
      </c>
    </row>
    <row r="222" spans="1:32">
      <c r="A222" t="s">
        <v>4554</v>
      </c>
      <c r="B222" s="4">
        <v>45360</v>
      </c>
      <c r="C222" s="4">
        <v>45360</v>
      </c>
      <c r="D222" t="s">
        <v>4555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  <c r="V222" t="str">
        <f t="shared" si="37"/>
        <v>March</v>
      </c>
      <c r="W222" s="5" t="str">
        <f t="shared" si="38"/>
        <v>Invalid</v>
      </c>
      <c r="X222" t="str">
        <f t="shared" si="39"/>
        <v>OK</v>
      </c>
      <c r="Y222">
        <f t="shared" si="33"/>
        <v>0.15</v>
      </c>
      <c r="Z222">
        <f t="shared" si="34"/>
        <v>1</v>
      </c>
      <c r="AA222">
        <f t="shared" si="40"/>
        <v>3486.1079999999993</v>
      </c>
      <c r="AB222">
        <f t="shared" si="41"/>
        <v>9554.5779999999995</v>
      </c>
      <c r="AC222">
        <f t="shared" si="42"/>
        <v>0</v>
      </c>
      <c r="AD222" t="str">
        <f t="shared" si="35"/>
        <v>South</v>
      </c>
      <c r="AE222" t="str">
        <f t="shared" si="43"/>
        <v>Clean</v>
      </c>
      <c r="AF222" t="str">
        <f t="shared" si="36"/>
        <v>First Class</v>
      </c>
    </row>
    <row r="223" spans="1:32">
      <c r="A223" t="s">
        <v>4556</v>
      </c>
      <c r="B223" s="4">
        <v>45669</v>
      </c>
      <c r="C223" s="4">
        <v>45672</v>
      </c>
      <c r="D223" t="s">
        <v>4557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  <c r="V223" t="str">
        <f t="shared" si="37"/>
        <v>January</v>
      </c>
      <c r="W223" t="str">
        <f t="shared" si="38"/>
        <v>OK</v>
      </c>
      <c r="X223" t="str">
        <f t="shared" si="39"/>
        <v>OK</v>
      </c>
      <c r="Y223">
        <f t="shared" si="33"/>
        <v>0.2</v>
      </c>
      <c r="Z223">
        <f t="shared" si="34"/>
        <v>1</v>
      </c>
      <c r="AA223">
        <f t="shared" si="40"/>
        <v>1348.2059999999997</v>
      </c>
      <c r="AB223">
        <f t="shared" si="41"/>
        <v>4900.8959999999997</v>
      </c>
      <c r="AC223">
        <f t="shared" si="42"/>
        <v>3</v>
      </c>
      <c r="AD223" t="str">
        <f t="shared" si="35"/>
        <v>South</v>
      </c>
      <c r="AE223" t="str">
        <f t="shared" si="43"/>
        <v>Clean</v>
      </c>
      <c r="AF223" t="str">
        <f t="shared" si="36"/>
        <v>Same Day</v>
      </c>
    </row>
    <row r="224" spans="1:32">
      <c r="A224" t="s">
        <v>4558</v>
      </c>
      <c r="B224" s="4">
        <v>45776</v>
      </c>
      <c r="C224" s="4">
        <v>45779</v>
      </c>
      <c r="D224" t="s">
        <v>4559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  <c r="V224" t="str">
        <f t="shared" si="37"/>
        <v>May</v>
      </c>
      <c r="W224" t="str">
        <f t="shared" si="38"/>
        <v>OK</v>
      </c>
      <c r="X224" t="str">
        <f t="shared" si="39"/>
        <v>OK</v>
      </c>
      <c r="Y224">
        <f t="shared" si="33"/>
        <v>0</v>
      </c>
      <c r="Z224">
        <f t="shared" si="34"/>
        <v>1</v>
      </c>
      <c r="AA224">
        <f t="shared" si="40"/>
        <v>8119.4500000000007</v>
      </c>
      <c r="AB224">
        <f t="shared" si="41"/>
        <v>25848.54</v>
      </c>
      <c r="AC224">
        <f t="shared" si="42"/>
        <v>3</v>
      </c>
      <c r="AD224" t="str">
        <f t="shared" si="35"/>
        <v>West</v>
      </c>
      <c r="AE224" t="str">
        <f t="shared" si="43"/>
        <v>Clean</v>
      </c>
      <c r="AF224" t="str">
        <f t="shared" si="36"/>
        <v>First Class</v>
      </c>
    </row>
    <row r="225" spans="1:32">
      <c r="A225" t="s">
        <v>4560</v>
      </c>
      <c r="B225" s="4">
        <v>45707</v>
      </c>
      <c r="C225" s="4">
        <v>45714</v>
      </c>
      <c r="D225" t="s">
        <v>4561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  <c r="V225" t="str">
        <f t="shared" si="37"/>
        <v>February</v>
      </c>
      <c r="W225" t="str">
        <f t="shared" si="38"/>
        <v>OK</v>
      </c>
      <c r="X225" t="str">
        <f t="shared" si="39"/>
        <v>OK</v>
      </c>
      <c r="Y225">
        <f t="shared" si="33"/>
        <v>0.2</v>
      </c>
      <c r="Z225">
        <f t="shared" si="34"/>
        <v>1</v>
      </c>
      <c r="AA225">
        <f t="shared" si="40"/>
        <v>522.39</v>
      </c>
      <c r="AB225">
        <f t="shared" si="41"/>
        <v>1176.72</v>
      </c>
      <c r="AC225">
        <f t="shared" si="42"/>
        <v>7</v>
      </c>
      <c r="AD225" t="str">
        <f t="shared" si="35"/>
        <v>West</v>
      </c>
      <c r="AE225" t="str">
        <f t="shared" si="43"/>
        <v>Clean</v>
      </c>
      <c r="AF225" t="str">
        <f t="shared" si="36"/>
        <v>First Class</v>
      </c>
    </row>
    <row r="226" spans="1:32">
      <c r="A226" t="s">
        <v>4562</v>
      </c>
      <c r="B226" s="4">
        <v>45698</v>
      </c>
      <c r="C226" s="4">
        <v>45938</v>
      </c>
      <c r="D226" t="s">
        <v>4563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s="8" t="s">
        <v>78</v>
      </c>
      <c r="V226" t="str">
        <f t="shared" si="37"/>
        <v>October</v>
      </c>
      <c r="W226" t="str">
        <f t="shared" si="38"/>
        <v>OK</v>
      </c>
      <c r="X226" t="str">
        <f t="shared" si="39"/>
        <v>OK</v>
      </c>
      <c r="Y226">
        <f t="shared" si="33"/>
        <v>0.25</v>
      </c>
      <c r="Z226" s="5">
        <f t="shared" si="34"/>
        <v>2</v>
      </c>
      <c r="AA226">
        <f t="shared" si="40"/>
        <v>5151</v>
      </c>
      <c r="AB226">
        <f t="shared" si="41"/>
        <v>11833.92</v>
      </c>
      <c r="AC226">
        <f t="shared" si="42"/>
        <v>240</v>
      </c>
      <c r="AD226" t="str">
        <f t="shared" si="35"/>
        <v>North</v>
      </c>
      <c r="AE226" t="str">
        <f t="shared" si="43"/>
        <v>Clean</v>
      </c>
      <c r="AF226" t="str">
        <f t="shared" si="36"/>
        <v>Standard Class</v>
      </c>
    </row>
    <row r="227" spans="1:32">
      <c r="A227" t="s">
        <v>4564</v>
      </c>
      <c r="B227" s="4">
        <v>45331</v>
      </c>
      <c r="C227" s="4">
        <v>45545</v>
      </c>
      <c r="D227" t="s">
        <v>4565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  <c r="V227" t="str">
        <f t="shared" si="37"/>
        <v>September</v>
      </c>
      <c r="W227" t="str">
        <f t="shared" si="38"/>
        <v>OK</v>
      </c>
      <c r="X227" t="str">
        <f t="shared" si="39"/>
        <v>OK</v>
      </c>
      <c r="Y227">
        <f t="shared" si="33"/>
        <v>0.15</v>
      </c>
      <c r="Z227">
        <f t="shared" si="34"/>
        <v>1</v>
      </c>
      <c r="AA227">
        <f t="shared" si="40"/>
        <v>972.48700000000008</v>
      </c>
      <c r="AB227">
        <f t="shared" si="41"/>
        <v>5265.5969999999998</v>
      </c>
      <c r="AC227">
        <f t="shared" si="42"/>
        <v>214</v>
      </c>
      <c r="AD227" t="str">
        <f t="shared" si="35"/>
        <v>West</v>
      </c>
      <c r="AE227" t="str">
        <f t="shared" si="43"/>
        <v>Clean</v>
      </c>
      <c r="AF227" t="str">
        <f t="shared" si="36"/>
        <v>Standard Class</v>
      </c>
    </row>
    <row r="228" spans="1:32">
      <c r="A228" t="s">
        <v>4566</v>
      </c>
      <c r="B228" s="4">
        <v>45757</v>
      </c>
      <c r="C228" s="4">
        <v>45762</v>
      </c>
      <c r="D228" t="s">
        <v>4567</v>
      </c>
      <c r="E228" t="s">
        <v>210</v>
      </c>
      <c r="F228" t="s">
        <v>115</v>
      </c>
      <c r="G228" t="s">
        <v>4187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  <c r="V228" t="str">
        <f t="shared" si="37"/>
        <v>April</v>
      </c>
      <c r="W228" t="str">
        <f t="shared" si="38"/>
        <v>OK</v>
      </c>
      <c r="X228" t="str">
        <f t="shared" si="39"/>
        <v>OK</v>
      </c>
      <c r="Y228">
        <f t="shared" si="33"/>
        <v>0.1</v>
      </c>
      <c r="Z228">
        <f t="shared" si="34"/>
        <v>1</v>
      </c>
      <c r="AA228">
        <f t="shared" si="40"/>
        <v>877.21299999999997</v>
      </c>
      <c r="AB228">
        <f t="shared" si="41"/>
        <v>1987.443</v>
      </c>
      <c r="AC228">
        <f t="shared" si="42"/>
        <v>5</v>
      </c>
      <c r="AD228" s="5" t="str">
        <f t="shared" si="35"/>
        <v>Unknown</v>
      </c>
      <c r="AE228" t="str">
        <f t="shared" si="43"/>
        <v>Clean</v>
      </c>
      <c r="AF228" t="str">
        <f t="shared" si="36"/>
        <v>Same Day</v>
      </c>
    </row>
    <row r="229" spans="1:32">
      <c r="A229" t="s">
        <v>4568</v>
      </c>
      <c r="B229" s="4">
        <v>45419</v>
      </c>
      <c r="C229" s="4">
        <v>45485</v>
      </c>
      <c r="D229" t="s">
        <v>4569</v>
      </c>
      <c r="E229" t="s">
        <v>72</v>
      </c>
      <c r="F229" t="s">
        <v>41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  <c r="V229" t="str">
        <f t="shared" si="37"/>
        <v>July</v>
      </c>
      <c r="W229" t="str">
        <f t="shared" si="38"/>
        <v>OK</v>
      </c>
      <c r="X229" t="str">
        <f t="shared" si="39"/>
        <v>OK</v>
      </c>
      <c r="Y229">
        <f t="shared" si="33"/>
        <v>0.15</v>
      </c>
      <c r="Z229">
        <f t="shared" si="34"/>
        <v>1</v>
      </c>
      <c r="AA229">
        <f t="shared" si="40"/>
        <v>573.40250000000003</v>
      </c>
      <c r="AB229">
        <f t="shared" si="41"/>
        <v>1473.2625</v>
      </c>
      <c r="AC229">
        <f t="shared" si="42"/>
        <v>66</v>
      </c>
      <c r="AD229" t="str">
        <f t="shared" si="35"/>
        <v>West</v>
      </c>
      <c r="AE229" t="str">
        <f t="shared" si="43"/>
        <v>Clean</v>
      </c>
      <c r="AF229" t="str">
        <f t="shared" si="36"/>
        <v>First Class</v>
      </c>
    </row>
    <row r="230" spans="1:32">
      <c r="A230" t="s">
        <v>4570</v>
      </c>
      <c r="B230" s="4">
        <v>45406</v>
      </c>
      <c r="C230" s="4">
        <v>45410</v>
      </c>
      <c r="D230" t="s">
        <v>4571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  <c r="V230" t="str">
        <f t="shared" si="37"/>
        <v>April</v>
      </c>
      <c r="W230" t="str">
        <f t="shared" si="38"/>
        <v>OK</v>
      </c>
      <c r="X230" t="str">
        <f t="shared" si="39"/>
        <v>OK</v>
      </c>
      <c r="Y230">
        <f t="shared" si="33"/>
        <v>0.15</v>
      </c>
      <c r="Z230">
        <f t="shared" si="34"/>
        <v>1</v>
      </c>
      <c r="AA230">
        <f t="shared" si="40"/>
        <v>1163.6645000000001</v>
      </c>
      <c r="AB230">
        <f t="shared" si="41"/>
        <v>2715.2145</v>
      </c>
      <c r="AC230">
        <f t="shared" si="42"/>
        <v>4</v>
      </c>
      <c r="AD230" t="str">
        <f t="shared" si="35"/>
        <v>South</v>
      </c>
      <c r="AE230" t="str">
        <f t="shared" si="43"/>
        <v>Clean</v>
      </c>
      <c r="AF230" t="str">
        <f t="shared" si="36"/>
        <v>Second Class</v>
      </c>
    </row>
    <row r="231" spans="1:32">
      <c r="A231" t="s">
        <v>4572</v>
      </c>
      <c r="B231" s="4">
        <v>45836</v>
      </c>
      <c r="C231" s="4">
        <v>45754</v>
      </c>
      <c r="D231" t="s">
        <v>4573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  <c r="V231" t="str">
        <f t="shared" si="37"/>
        <v>April</v>
      </c>
      <c r="W231" s="5" t="str">
        <f t="shared" si="38"/>
        <v>Invalid</v>
      </c>
      <c r="X231" t="str">
        <f t="shared" si="39"/>
        <v>OK</v>
      </c>
      <c r="Y231">
        <f t="shared" si="33"/>
        <v>0</v>
      </c>
      <c r="Z231">
        <f t="shared" si="34"/>
        <v>1</v>
      </c>
      <c r="AA231">
        <f t="shared" si="40"/>
        <v>3122.7500000000009</v>
      </c>
      <c r="AB231">
        <f t="shared" si="41"/>
        <v>8658.69</v>
      </c>
      <c r="AC231" s="5">
        <f t="shared" si="42"/>
        <v>-82</v>
      </c>
      <c r="AD231" t="str">
        <f t="shared" si="35"/>
        <v>South</v>
      </c>
      <c r="AE231" t="str">
        <f t="shared" si="43"/>
        <v>Invalid</v>
      </c>
      <c r="AF231" t="str">
        <f t="shared" si="36"/>
        <v>First Class</v>
      </c>
    </row>
    <row r="232" spans="1:32">
      <c r="A232" t="s">
        <v>4574</v>
      </c>
      <c r="B232" s="4">
        <v>45440</v>
      </c>
      <c r="C232" s="4">
        <v>45446</v>
      </c>
      <c r="D232" t="s">
        <v>4575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  <c r="V232" t="str">
        <f t="shared" si="37"/>
        <v>June</v>
      </c>
      <c r="W232" t="str">
        <f t="shared" si="38"/>
        <v>OK</v>
      </c>
      <c r="X232" t="str">
        <f t="shared" si="39"/>
        <v>OK</v>
      </c>
      <c r="Y232">
        <f t="shared" si="33"/>
        <v>0.1</v>
      </c>
      <c r="Z232">
        <f t="shared" si="34"/>
        <v>1</v>
      </c>
      <c r="AA232">
        <f t="shared" si="40"/>
        <v>2249.4259999999995</v>
      </c>
      <c r="AB232">
        <f t="shared" si="41"/>
        <v>11090.376</v>
      </c>
      <c r="AC232">
        <f t="shared" si="42"/>
        <v>6</v>
      </c>
      <c r="AD232" t="str">
        <f t="shared" si="35"/>
        <v>North</v>
      </c>
      <c r="AE232" t="str">
        <f t="shared" si="43"/>
        <v>Clean</v>
      </c>
      <c r="AF232" t="str">
        <f t="shared" si="36"/>
        <v>Standard Class</v>
      </c>
    </row>
    <row r="233" spans="1:32">
      <c r="A233" t="s">
        <v>4576</v>
      </c>
      <c r="B233" s="4">
        <v>45327</v>
      </c>
      <c r="C233" s="4">
        <v>45327</v>
      </c>
      <c r="D233" t="s">
        <v>4577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30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  <c r="V233" t="str">
        <f t="shared" si="37"/>
        <v>February</v>
      </c>
      <c r="W233" s="5" t="str">
        <f t="shared" si="38"/>
        <v>Invalid</v>
      </c>
      <c r="X233" t="str">
        <f t="shared" si="39"/>
        <v>OK</v>
      </c>
      <c r="Y233">
        <f t="shared" si="33"/>
        <v>0.25</v>
      </c>
      <c r="Z233">
        <f t="shared" si="34"/>
        <v>1</v>
      </c>
      <c r="AA233">
        <f t="shared" si="40"/>
        <v>4299.204999999999</v>
      </c>
      <c r="AB233">
        <f t="shared" si="41"/>
        <v>11462.744999999999</v>
      </c>
      <c r="AC233">
        <f t="shared" si="42"/>
        <v>0</v>
      </c>
      <c r="AD233" t="str">
        <f t="shared" si="35"/>
        <v>North</v>
      </c>
      <c r="AE233" t="str">
        <f t="shared" si="43"/>
        <v>Clean</v>
      </c>
      <c r="AF233" t="str">
        <f t="shared" si="36"/>
        <v>First Class</v>
      </c>
    </row>
    <row r="234" spans="1:32">
      <c r="A234" t="s">
        <v>4578</v>
      </c>
      <c r="B234" s="4">
        <v>45753</v>
      </c>
      <c r="C234" s="4">
        <v>45818</v>
      </c>
      <c r="D234" t="s">
        <v>4579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  <c r="V234" t="str">
        <f t="shared" si="37"/>
        <v>June</v>
      </c>
      <c r="W234" t="str">
        <f t="shared" si="38"/>
        <v>OK</v>
      </c>
      <c r="X234" t="str">
        <f t="shared" si="39"/>
        <v>OK</v>
      </c>
      <c r="Y234">
        <f t="shared" si="33"/>
        <v>0.25</v>
      </c>
      <c r="Z234">
        <f t="shared" si="34"/>
        <v>1</v>
      </c>
      <c r="AA234">
        <f t="shared" si="40"/>
        <v>110.53999999999996</v>
      </c>
      <c r="AB234">
        <f t="shared" si="41"/>
        <v>670.11</v>
      </c>
      <c r="AC234">
        <f t="shared" si="42"/>
        <v>65</v>
      </c>
      <c r="AD234" t="str">
        <f t="shared" si="35"/>
        <v>South</v>
      </c>
      <c r="AE234" t="str">
        <f t="shared" si="43"/>
        <v>Clean</v>
      </c>
      <c r="AF234" t="str">
        <f t="shared" si="36"/>
        <v>Standard Class</v>
      </c>
    </row>
    <row r="235" spans="1:32">
      <c r="A235" t="s">
        <v>4580</v>
      </c>
      <c r="B235" s="4">
        <v>45579</v>
      </c>
      <c r="C235" s="4">
        <v>45579</v>
      </c>
      <c r="D235" t="s">
        <v>4581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M235" t="s">
        <v>4187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  <c r="V235" t="str">
        <f t="shared" si="37"/>
        <v>October</v>
      </c>
      <c r="W235" s="5" t="str">
        <f t="shared" si="38"/>
        <v>Invalid</v>
      </c>
      <c r="X235" t="str">
        <f t="shared" si="39"/>
        <v>OK</v>
      </c>
      <c r="Y235">
        <f t="shared" si="33"/>
        <v>0</v>
      </c>
      <c r="Z235">
        <f t="shared" si="34"/>
        <v>1</v>
      </c>
      <c r="AA235">
        <f t="shared" si="40"/>
        <v>4859.0200000000004</v>
      </c>
      <c r="AB235">
        <f t="shared" si="41"/>
        <v>31236.720000000001</v>
      </c>
      <c r="AC235">
        <f t="shared" si="42"/>
        <v>0</v>
      </c>
      <c r="AD235" t="str">
        <f t="shared" si="35"/>
        <v>South</v>
      </c>
      <c r="AE235" t="str">
        <f t="shared" si="43"/>
        <v>Clean</v>
      </c>
      <c r="AF235" s="5" t="str">
        <f t="shared" si="36"/>
        <v>Unknown</v>
      </c>
    </row>
    <row r="236" spans="1:32">
      <c r="A236" t="s">
        <v>4582</v>
      </c>
      <c r="B236" s="4">
        <v>45331</v>
      </c>
      <c r="C236" s="4">
        <v>45538</v>
      </c>
      <c r="D236" t="s">
        <v>4583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  <c r="V236" t="str">
        <f t="shared" si="37"/>
        <v>September</v>
      </c>
      <c r="W236" t="str">
        <f t="shared" si="38"/>
        <v>OK</v>
      </c>
      <c r="X236" t="str">
        <f t="shared" si="39"/>
        <v>OK</v>
      </c>
      <c r="Y236">
        <f t="shared" si="33"/>
        <v>0.1</v>
      </c>
      <c r="Z236">
        <f t="shared" si="34"/>
        <v>1</v>
      </c>
      <c r="AA236">
        <f t="shared" si="40"/>
        <v>1701.7710000000006</v>
      </c>
      <c r="AB236">
        <f t="shared" si="41"/>
        <v>10964.241</v>
      </c>
      <c r="AC236">
        <f t="shared" si="42"/>
        <v>207</v>
      </c>
      <c r="AD236" t="str">
        <f t="shared" si="35"/>
        <v>North</v>
      </c>
      <c r="AE236" t="str">
        <f t="shared" si="43"/>
        <v>Clean</v>
      </c>
      <c r="AF236" t="str">
        <f t="shared" si="36"/>
        <v>First Class</v>
      </c>
    </row>
    <row r="237" spans="1:32">
      <c r="A237" t="s">
        <v>4584</v>
      </c>
      <c r="B237" s="4">
        <v>45333</v>
      </c>
      <c r="C237" s="4">
        <v>45362</v>
      </c>
      <c r="D237" t="s">
        <v>4585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  <c r="V237" t="str">
        <f t="shared" si="37"/>
        <v>March</v>
      </c>
      <c r="W237" t="str">
        <f t="shared" si="38"/>
        <v>OK</v>
      </c>
      <c r="X237" t="str">
        <f t="shared" si="39"/>
        <v>OK</v>
      </c>
      <c r="Y237">
        <f t="shared" si="33"/>
        <v>0.05</v>
      </c>
      <c r="Z237">
        <f t="shared" si="34"/>
        <v>1</v>
      </c>
      <c r="AA237">
        <f t="shared" si="40"/>
        <v>4081.0729999999985</v>
      </c>
      <c r="AB237">
        <f t="shared" si="41"/>
        <v>15226.352999999999</v>
      </c>
      <c r="AC237">
        <f t="shared" si="42"/>
        <v>29</v>
      </c>
      <c r="AD237" t="str">
        <f t="shared" si="35"/>
        <v>West</v>
      </c>
      <c r="AE237" t="str">
        <f t="shared" si="43"/>
        <v>Clean</v>
      </c>
      <c r="AF237" t="str">
        <f t="shared" si="36"/>
        <v>Standard Class</v>
      </c>
    </row>
    <row r="238" spans="1:32">
      <c r="A238" t="s">
        <v>4586</v>
      </c>
      <c r="B238" s="4">
        <v>45579</v>
      </c>
      <c r="C238" s="4">
        <v>45586</v>
      </c>
      <c r="D238" t="s">
        <v>4587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  <c r="V238" t="str">
        <f t="shared" si="37"/>
        <v>October</v>
      </c>
      <c r="W238" t="str">
        <f t="shared" si="38"/>
        <v>OK</v>
      </c>
      <c r="X238" t="str">
        <f t="shared" si="39"/>
        <v>OK</v>
      </c>
      <c r="Y238">
        <f t="shared" si="33"/>
        <v>0</v>
      </c>
      <c r="Z238">
        <f t="shared" si="34"/>
        <v>1</v>
      </c>
      <c r="AA238">
        <f t="shared" si="40"/>
        <v>5843.2900000000009</v>
      </c>
      <c r="AB238">
        <f t="shared" si="41"/>
        <v>24376.68</v>
      </c>
      <c r="AC238">
        <f t="shared" si="42"/>
        <v>7</v>
      </c>
      <c r="AD238" t="str">
        <f t="shared" si="35"/>
        <v>North</v>
      </c>
      <c r="AE238" t="str">
        <f t="shared" si="43"/>
        <v>Clean</v>
      </c>
      <c r="AF238" t="str">
        <f t="shared" si="36"/>
        <v>First Class</v>
      </c>
    </row>
    <row r="239" spans="1:32">
      <c r="A239" t="s">
        <v>4588</v>
      </c>
      <c r="B239" s="4">
        <v>45531</v>
      </c>
      <c r="C239" s="4">
        <v>45531</v>
      </c>
      <c r="D239" t="s">
        <v>4589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  <c r="V239" t="str">
        <f t="shared" si="37"/>
        <v>August</v>
      </c>
      <c r="W239" s="5" t="str">
        <f t="shared" si="38"/>
        <v>Invalid</v>
      </c>
      <c r="X239" t="str">
        <f t="shared" si="39"/>
        <v>OK</v>
      </c>
      <c r="Y239">
        <f t="shared" si="33"/>
        <v>0</v>
      </c>
      <c r="Z239">
        <f t="shared" si="34"/>
        <v>1</v>
      </c>
      <c r="AA239">
        <f t="shared" si="40"/>
        <v>7467.8200000000015</v>
      </c>
      <c r="AB239">
        <f t="shared" si="41"/>
        <v>20972.7</v>
      </c>
      <c r="AC239">
        <f t="shared" si="42"/>
        <v>0</v>
      </c>
      <c r="AD239" t="str">
        <f t="shared" si="35"/>
        <v>North</v>
      </c>
      <c r="AE239" t="str">
        <f t="shared" si="43"/>
        <v>Clean</v>
      </c>
      <c r="AF239" t="str">
        <f t="shared" si="36"/>
        <v>Standard Class</v>
      </c>
    </row>
    <row r="240" spans="1:32">
      <c r="A240" t="s">
        <v>4590</v>
      </c>
      <c r="B240" s="4">
        <v>45627</v>
      </c>
      <c r="C240" s="4">
        <v>45308</v>
      </c>
      <c r="D240" t="s">
        <v>4591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  <c r="V240" t="str">
        <f t="shared" si="37"/>
        <v>January</v>
      </c>
      <c r="W240" s="5" t="str">
        <f t="shared" si="38"/>
        <v>Invalid</v>
      </c>
      <c r="X240" t="str">
        <f t="shared" si="39"/>
        <v>OK</v>
      </c>
      <c r="Y240">
        <f t="shared" si="33"/>
        <v>0.55000000000000004</v>
      </c>
      <c r="Z240">
        <f t="shared" si="34"/>
        <v>1</v>
      </c>
      <c r="AA240">
        <f t="shared" si="40"/>
        <v>-6222.8425000000007</v>
      </c>
      <c r="AB240">
        <f t="shared" si="41"/>
        <v>12615.907499999999</v>
      </c>
      <c r="AC240" s="5">
        <f t="shared" si="42"/>
        <v>-319</v>
      </c>
      <c r="AD240" t="str">
        <f t="shared" si="35"/>
        <v>South</v>
      </c>
      <c r="AE240" t="str">
        <f t="shared" si="43"/>
        <v>Invalid</v>
      </c>
      <c r="AF240" t="str">
        <f t="shared" si="36"/>
        <v>First Class</v>
      </c>
    </row>
    <row r="241" spans="1:32">
      <c r="A241" t="s">
        <v>4592</v>
      </c>
      <c r="B241" s="4">
        <v>45556</v>
      </c>
      <c r="C241" s="4">
        <v>45556</v>
      </c>
      <c r="D241" t="s">
        <v>4593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  <c r="V241" t="str">
        <f t="shared" si="37"/>
        <v>September</v>
      </c>
      <c r="W241" s="5" t="str">
        <f t="shared" si="38"/>
        <v>Invalid</v>
      </c>
      <c r="X241" t="str">
        <f t="shared" si="39"/>
        <v>OK</v>
      </c>
      <c r="Y241">
        <f t="shared" si="33"/>
        <v>0.2</v>
      </c>
      <c r="Z241">
        <f t="shared" si="34"/>
        <v>1</v>
      </c>
      <c r="AA241">
        <f t="shared" si="40"/>
        <v>856.60600000000022</v>
      </c>
      <c r="AB241">
        <f t="shared" si="41"/>
        <v>3136.096</v>
      </c>
      <c r="AC241">
        <f t="shared" si="42"/>
        <v>0</v>
      </c>
      <c r="AD241" t="str">
        <f t="shared" si="35"/>
        <v>South</v>
      </c>
      <c r="AE241" t="str">
        <f t="shared" si="43"/>
        <v>Clean</v>
      </c>
      <c r="AF241" t="str">
        <f t="shared" si="36"/>
        <v>First Class</v>
      </c>
    </row>
    <row r="242" spans="1:32">
      <c r="A242" t="s">
        <v>4594</v>
      </c>
      <c r="B242" s="4">
        <v>45643</v>
      </c>
      <c r="C242" s="4">
        <v>45649</v>
      </c>
      <c r="D242" t="s">
        <v>4595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  <c r="V242" t="str">
        <f t="shared" si="37"/>
        <v>December</v>
      </c>
      <c r="W242" t="str">
        <f t="shared" si="38"/>
        <v>OK</v>
      </c>
      <c r="X242" t="str">
        <f t="shared" si="39"/>
        <v>OK</v>
      </c>
      <c r="Y242">
        <f t="shared" si="33"/>
        <v>0</v>
      </c>
      <c r="Z242">
        <f t="shared" si="34"/>
        <v>1</v>
      </c>
      <c r="AA242">
        <f t="shared" si="40"/>
        <v>6907.7099999999973</v>
      </c>
      <c r="AB242">
        <f t="shared" si="41"/>
        <v>20835.899999999998</v>
      </c>
      <c r="AC242">
        <f t="shared" si="42"/>
        <v>6</v>
      </c>
      <c r="AD242" t="str">
        <f t="shared" si="35"/>
        <v>South</v>
      </c>
      <c r="AE242" t="str">
        <f t="shared" si="43"/>
        <v>Clean</v>
      </c>
      <c r="AF242" t="str">
        <f t="shared" si="36"/>
        <v>First Class</v>
      </c>
    </row>
    <row r="243" spans="1:32">
      <c r="A243" t="s">
        <v>4596</v>
      </c>
      <c r="B243" s="4">
        <v>45815</v>
      </c>
      <c r="C243" s="4">
        <v>45844</v>
      </c>
      <c r="D243" t="s">
        <v>4597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  <c r="V243" t="str">
        <f t="shared" si="37"/>
        <v>July</v>
      </c>
      <c r="W243" t="str">
        <f t="shared" si="38"/>
        <v>OK</v>
      </c>
      <c r="X243" t="str">
        <f t="shared" si="39"/>
        <v>OK</v>
      </c>
      <c r="Y243">
        <f t="shared" si="33"/>
        <v>0.25</v>
      </c>
      <c r="Z243">
        <f t="shared" si="34"/>
        <v>1</v>
      </c>
      <c r="AA243">
        <f t="shared" si="40"/>
        <v>522.38000000000011</v>
      </c>
      <c r="AB243">
        <f t="shared" si="41"/>
        <v>1212.9000000000001</v>
      </c>
      <c r="AC243">
        <f t="shared" si="42"/>
        <v>29</v>
      </c>
      <c r="AD243" t="str">
        <f t="shared" si="35"/>
        <v>North</v>
      </c>
      <c r="AE243" t="str">
        <f t="shared" si="43"/>
        <v>Clean</v>
      </c>
      <c r="AF243" t="str">
        <f t="shared" si="36"/>
        <v>Standard Class</v>
      </c>
    </row>
    <row r="244" spans="1:32">
      <c r="A244" t="s">
        <v>4598</v>
      </c>
      <c r="B244" s="4">
        <v>45840</v>
      </c>
      <c r="C244" s="4">
        <v>45695</v>
      </c>
      <c r="D244" t="s">
        <v>4599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  <c r="V244" t="str">
        <f t="shared" si="37"/>
        <v>February</v>
      </c>
      <c r="W244" s="5" t="str">
        <f t="shared" si="38"/>
        <v>Invalid</v>
      </c>
      <c r="X244" t="str">
        <f t="shared" si="39"/>
        <v>OK</v>
      </c>
      <c r="Y244">
        <f t="shared" si="33"/>
        <v>0.05</v>
      </c>
      <c r="Z244">
        <f t="shared" si="34"/>
        <v>1</v>
      </c>
      <c r="AA244">
        <f t="shared" si="40"/>
        <v>1446.3339999999998</v>
      </c>
      <c r="AB244">
        <f t="shared" si="41"/>
        <v>5697.8339999999998</v>
      </c>
      <c r="AC244" s="5">
        <f t="shared" si="42"/>
        <v>-145</v>
      </c>
      <c r="AD244" t="str">
        <f t="shared" si="35"/>
        <v>North</v>
      </c>
      <c r="AE244" t="str">
        <f t="shared" si="43"/>
        <v>Invalid</v>
      </c>
      <c r="AF244" t="str">
        <f t="shared" si="36"/>
        <v>Second Class</v>
      </c>
    </row>
    <row r="245" spans="1:32">
      <c r="A245" t="s">
        <v>4600</v>
      </c>
      <c r="B245" s="4">
        <v>45867</v>
      </c>
      <c r="C245" s="4">
        <v>45871</v>
      </c>
      <c r="D245" t="s">
        <v>4601</v>
      </c>
      <c r="E245" t="s">
        <v>168</v>
      </c>
      <c r="F245" t="s">
        <v>41</v>
      </c>
      <c r="G245" t="s">
        <v>4187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35</v>
      </c>
      <c r="V245" t="str">
        <f t="shared" si="37"/>
        <v>August</v>
      </c>
      <c r="W245" t="str">
        <f t="shared" si="38"/>
        <v>OK</v>
      </c>
      <c r="X245" t="str">
        <f t="shared" si="39"/>
        <v>OK</v>
      </c>
      <c r="Y245">
        <f t="shared" si="33"/>
        <v>0.1</v>
      </c>
      <c r="Z245">
        <f t="shared" si="34"/>
        <v>1</v>
      </c>
      <c r="AA245">
        <f t="shared" si="40"/>
        <v>1540.3140000000003</v>
      </c>
      <c r="AB245">
        <f t="shared" si="41"/>
        <v>4049.5140000000001</v>
      </c>
      <c r="AC245">
        <f t="shared" si="42"/>
        <v>4</v>
      </c>
      <c r="AD245" s="5" t="str">
        <f t="shared" si="35"/>
        <v>Unknown</v>
      </c>
      <c r="AE245" t="str">
        <f t="shared" si="43"/>
        <v>Clean</v>
      </c>
      <c r="AF245" t="str">
        <f t="shared" si="36"/>
        <v>First Class</v>
      </c>
    </row>
    <row r="246" spans="1:32">
      <c r="A246" t="s">
        <v>4602</v>
      </c>
      <c r="B246" s="4">
        <v>45527</v>
      </c>
      <c r="C246" s="4">
        <v>45528</v>
      </c>
      <c r="D246" t="s">
        <v>4603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  <c r="V246" t="str">
        <f t="shared" si="37"/>
        <v>August</v>
      </c>
      <c r="W246" t="str">
        <f t="shared" si="38"/>
        <v>OK</v>
      </c>
      <c r="X246" t="str">
        <f t="shared" si="39"/>
        <v>OK</v>
      </c>
      <c r="Y246">
        <f t="shared" si="33"/>
        <v>0</v>
      </c>
      <c r="Z246">
        <f t="shared" si="34"/>
        <v>1</v>
      </c>
      <c r="AA246">
        <f t="shared" si="40"/>
        <v>2070.46</v>
      </c>
      <c r="AB246">
        <f t="shared" si="41"/>
        <v>6131.34</v>
      </c>
      <c r="AC246">
        <f t="shared" si="42"/>
        <v>1</v>
      </c>
      <c r="AD246" t="str">
        <f t="shared" si="35"/>
        <v>South</v>
      </c>
      <c r="AE246" t="str">
        <f t="shared" si="43"/>
        <v>Clean</v>
      </c>
      <c r="AF246" t="str">
        <f t="shared" si="36"/>
        <v>Same Day</v>
      </c>
    </row>
    <row r="247" spans="1:32">
      <c r="A247" t="s">
        <v>4604</v>
      </c>
      <c r="B247" s="4">
        <v>45583</v>
      </c>
      <c r="C247" s="4">
        <v>45589</v>
      </c>
      <c r="D247" t="s">
        <v>4605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45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  <c r="V247" t="str">
        <f t="shared" si="37"/>
        <v>October</v>
      </c>
      <c r="W247" t="str">
        <f t="shared" si="38"/>
        <v>OK</v>
      </c>
      <c r="X247" t="str">
        <f t="shared" si="39"/>
        <v>OK</v>
      </c>
      <c r="Y247">
        <f t="shared" si="33"/>
        <v>0</v>
      </c>
      <c r="Z247">
        <f t="shared" si="34"/>
        <v>1</v>
      </c>
      <c r="AA247">
        <f t="shared" si="40"/>
        <v>4349.5099999999993</v>
      </c>
      <c r="AB247">
        <f t="shared" si="41"/>
        <v>9827.7899999999991</v>
      </c>
      <c r="AC247">
        <f t="shared" si="42"/>
        <v>6</v>
      </c>
      <c r="AD247" t="str">
        <f t="shared" si="35"/>
        <v>South</v>
      </c>
      <c r="AE247" t="str">
        <f t="shared" si="43"/>
        <v>Clean</v>
      </c>
      <c r="AF247" t="str">
        <f t="shared" si="36"/>
        <v>Second Class</v>
      </c>
    </row>
    <row r="248" spans="1:32">
      <c r="A248" t="s">
        <v>4606</v>
      </c>
      <c r="B248" s="4">
        <v>45387</v>
      </c>
      <c r="C248" s="4">
        <v>45421</v>
      </c>
      <c r="D248" t="s">
        <v>4607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  <c r="V248" t="str">
        <f t="shared" si="37"/>
        <v>May</v>
      </c>
      <c r="W248" t="str">
        <f t="shared" si="38"/>
        <v>OK</v>
      </c>
      <c r="X248" t="str">
        <f t="shared" si="39"/>
        <v>OK</v>
      </c>
      <c r="Y248">
        <f t="shared" si="33"/>
        <v>0.25</v>
      </c>
      <c r="Z248">
        <f t="shared" si="34"/>
        <v>1</v>
      </c>
      <c r="AA248">
        <f t="shared" si="40"/>
        <v>77.36749999999995</v>
      </c>
      <c r="AB248">
        <f t="shared" si="41"/>
        <v>521.88749999999993</v>
      </c>
      <c r="AC248">
        <f t="shared" si="42"/>
        <v>34</v>
      </c>
      <c r="AD248" t="str">
        <f t="shared" si="35"/>
        <v>North</v>
      </c>
      <c r="AE248" t="str">
        <f t="shared" si="43"/>
        <v>Clean</v>
      </c>
      <c r="AF248" t="str">
        <f t="shared" si="36"/>
        <v>Same Day</v>
      </c>
    </row>
    <row r="249" spans="1:32">
      <c r="A249" t="s">
        <v>4608</v>
      </c>
      <c r="B249" s="4">
        <v>45498</v>
      </c>
      <c r="C249" s="4">
        <v>45505</v>
      </c>
      <c r="D249" t="s">
        <v>4609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  <c r="V249" t="str">
        <f t="shared" si="37"/>
        <v>August</v>
      </c>
      <c r="W249" t="str">
        <f t="shared" si="38"/>
        <v>OK</v>
      </c>
      <c r="X249" t="str">
        <f t="shared" si="39"/>
        <v>OK</v>
      </c>
      <c r="Y249">
        <f t="shared" si="33"/>
        <v>0.25</v>
      </c>
      <c r="Z249">
        <f t="shared" si="34"/>
        <v>1</v>
      </c>
      <c r="AA249">
        <f t="shared" si="40"/>
        <v>2459.5600000000013</v>
      </c>
      <c r="AB249">
        <f t="shared" si="41"/>
        <v>14960.400000000001</v>
      </c>
      <c r="AC249">
        <f t="shared" si="42"/>
        <v>7</v>
      </c>
      <c r="AD249" t="str">
        <f t="shared" si="35"/>
        <v>North</v>
      </c>
      <c r="AE249" t="str">
        <f t="shared" si="43"/>
        <v>Clean</v>
      </c>
      <c r="AF249" t="str">
        <f t="shared" si="36"/>
        <v>Second Class</v>
      </c>
    </row>
    <row r="250" spans="1:32">
      <c r="A250" t="s">
        <v>4610</v>
      </c>
      <c r="B250" s="4">
        <v>45328</v>
      </c>
      <c r="C250" s="4">
        <v>45450</v>
      </c>
      <c r="D250" t="s">
        <v>4611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  <c r="V250" t="str">
        <f t="shared" si="37"/>
        <v>June</v>
      </c>
      <c r="W250" t="str">
        <f t="shared" si="38"/>
        <v>OK</v>
      </c>
      <c r="X250" t="str">
        <f t="shared" si="39"/>
        <v>OK</v>
      </c>
      <c r="Y250">
        <f t="shared" si="33"/>
        <v>0.15</v>
      </c>
      <c r="Z250">
        <f t="shared" si="34"/>
        <v>1</v>
      </c>
      <c r="AA250">
        <f t="shared" si="40"/>
        <v>1143.6914999999999</v>
      </c>
      <c r="AB250">
        <f t="shared" si="41"/>
        <v>6027.5114999999996</v>
      </c>
      <c r="AC250">
        <f t="shared" si="42"/>
        <v>122</v>
      </c>
      <c r="AD250" t="str">
        <f t="shared" si="35"/>
        <v>East</v>
      </c>
      <c r="AE250" t="str">
        <f t="shared" si="43"/>
        <v>Clean</v>
      </c>
      <c r="AF250" t="str">
        <f t="shared" si="36"/>
        <v>Second Class</v>
      </c>
    </row>
    <row r="251" spans="1:32">
      <c r="A251" t="s">
        <v>4612</v>
      </c>
      <c r="B251" s="4">
        <v>45665</v>
      </c>
      <c r="C251" s="4">
        <v>45696</v>
      </c>
      <c r="D251" t="s">
        <v>4613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  <c r="V251" t="str">
        <f t="shared" si="37"/>
        <v>February</v>
      </c>
      <c r="W251" t="str">
        <f t="shared" si="38"/>
        <v>OK</v>
      </c>
      <c r="X251" t="str">
        <f t="shared" si="39"/>
        <v>OK</v>
      </c>
      <c r="Y251">
        <f t="shared" si="33"/>
        <v>0.2</v>
      </c>
      <c r="Z251">
        <f t="shared" si="34"/>
        <v>1</v>
      </c>
      <c r="AA251">
        <f t="shared" si="40"/>
        <v>3294.5479999999998</v>
      </c>
      <c r="AB251">
        <f t="shared" si="41"/>
        <v>8928.9279999999999</v>
      </c>
      <c r="AC251">
        <f t="shared" si="42"/>
        <v>31</v>
      </c>
      <c r="AD251" t="str">
        <f t="shared" si="35"/>
        <v>North</v>
      </c>
      <c r="AE251" t="str">
        <f t="shared" si="43"/>
        <v>Clean</v>
      </c>
      <c r="AF251" t="str">
        <f t="shared" si="36"/>
        <v>First Class</v>
      </c>
    </row>
    <row r="252" spans="1:32">
      <c r="A252" t="s">
        <v>4614</v>
      </c>
      <c r="B252" s="4">
        <v>45343</v>
      </c>
      <c r="C252" s="4">
        <v>45349</v>
      </c>
      <c r="D252" t="s">
        <v>4615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  <c r="V252" t="str">
        <f t="shared" si="37"/>
        <v>February</v>
      </c>
      <c r="W252" t="str">
        <f t="shared" si="38"/>
        <v>OK</v>
      </c>
      <c r="X252" t="str">
        <f t="shared" si="39"/>
        <v>OK</v>
      </c>
      <c r="Y252">
        <f t="shared" si="33"/>
        <v>0.15</v>
      </c>
      <c r="Z252">
        <f t="shared" si="34"/>
        <v>1</v>
      </c>
      <c r="AA252">
        <f t="shared" si="40"/>
        <v>2441.2549999999992</v>
      </c>
      <c r="AB252">
        <f t="shared" si="41"/>
        <v>14338.904999999999</v>
      </c>
      <c r="AC252">
        <f t="shared" si="42"/>
        <v>6</v>
      </c>
      <c r="AD252" t="str">
        <f t="shared" si="35"/>
        <v>East</v>
      </c>
      <c r="AE252" t="str">
        <f t="shared" si="43"/>
        <v>Clean</v>
      </c>
      <c r="AF252" t="str">
        <f t="shared" si="36"/>
        <v>Standard Class</v>
      </c>
    </row>
    <row r="253" spans="1:32">
      <c r="A253" t="s">
        <v>4616</v>
      </c>
      <c r="B253" s="4">
        <v>45812</v>
      </c>
      <c r="C253" s="4">
        <v>45934</v>
      </c>
      <c r="D253" t="s">
        <v>4617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  <c r="V253" t="str">
        <f t="shared" si="37"/>
        <v>October</v>
      </c>
      <c r="W253" t="str">
        <f t="shared" si="38"/>
        <v>OK</v>
      </c>
      <c r="X253" t="str">
        <f t="shared" si="39"/>
        <v>OK</v>
      </c>
      <c r="Y253">
        <f t="shared" si="33"/>
        <v>0</v>
      </c>
      <c r="Z253">
        <f t="shared" si="34"/>
        <v>1</v>
      </c>
      <c r="AA253">
        <f t="shared" si="40"/>
        <v>1251.8599999999997</v>
      </c>
      <c r="AB253">
        <f t="shared" si="41"/>
        <v>6132.96</v>
      </c>
      <c r="AC253">
        <f t="shared" si="42"/>
        <v>122</v>
      </c>
      <c r="AD253" t="str">
        <f t="shared" si="35"/>
        <v>West</v>
      </c>
      <c r="AE253" t="str">
        <f t="shared" si="43"/>
        <v>Clean</v>
      </c>
      <c r="AF253" t="str">
        <f t="shared" si="36"/>
        <v>Second Class</v>
      </c>
    </row>
    <row r="254" spans="1:32">
      <c r="A254" t="s">
        <v>4618</v>
      </c>
      <c r="B254" s="4">
        <v>45833</v>
      </c>
      <c r="C254" s="4">
        <v>45836</v>
      </c>
      <c r="D254" t="s">
        <v>4619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  <c r="V254" t="str">
        <f t="shared" si="37"/>
        <v>June</v>
      </c>
      <c r="W254" t="str">
        <f t="shared" si="38"/>
        <v>OK</v>
      </c>
      <c r="X254" t="str">
        <f t="shared" si="39"/>
        <v>OK</v>
      </c>
      <c r="Y254">
        <f t="shared" si="33"/>
        <v>0.2</v>
      </c>
      <c r="Z254">
        <f t="shared" si="34"/>
        <v>1</v>
      </c>
      <c r="AA254">
        <f t="shared" si="40"/>
        <v>725.85200000000032</v>
      </c>
      <c r="AB254">
        <f t="shared" si="41"/>
        <v>2329.4720000000002</v>
      </c>
      <c r="AC254">
        <f t="shared" si="42"/>
        <v>3</v>
      </c>
      <c r="AD254" t="str">
        <f t="shared" si="35"/>
        <v>North</v>
      </c>
      <c r="AE254" t="str">
        <f t="shared" si="43"/>
        <v>Clean</v>
      </c>
      <c r="AF254" t="str">
        <f t="shared" si="36"/>
        <v>First Class</v>
      </c>
    </row>
    <row r="255" spans="1:32">
      <c r="A255" t="s">
        <v>4620</v>
      </c>
      <c r="B255" s="4">
        <v>45635</v>
      </c>
      <c r="C255" s="4">
        <v>45548</v>
      </c>
      <c r="D255" t="s">
        <v>4621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  <c r="V255" t="str">
        <f t="shared" si="37"/>
        <v>September</v>
      </c>
      <c r="W255" s="5" t="str">
        <f t="shared" si="38"/>
        <v>Invalid</v>
      </c>
      <c r="X255" t="str">
        <f t="shared" si="39"/>
        <v>OK</v>
      </c>
      <c r="Y255">
        <f t="shared" si="33"/>
        <v>0.05</v>
      </c>
      <c r="Z255">
        <f t="shared" si="34"/>
        <v>1</v>
      </c>
      <c r="AA255">
        <f t="shared" si="40"/>
        <v>1921.5229999999992</v>
      </c>
      <c r="AB255">
        <f t="shared" si="41"/>
        <v>4746.9029999999993</v>
      </c>
      <c r="AC255" s="5">
        <f t="shared" si="42"/>
        <v>-87</v>
      </c>
      <c r="AD255" t="str">
        <f t="shared" si="35"/>
        <v>North</v>
      </c>
      <c r="AE255" t="str">
        <f t="shared" si="43"/>
        <v>Invalid</v>
      </c>
      <c r="AF255" t="str">
        <f t="shared" si="36"/>
        <v>Same Day</v>
      </c>
    </row>
    <row r="256" spans="1:32">
      <c r="A256" t="s">
        <v>4622</v>
      </c>
      <c r="B256" s="4">
        <v>45658</v>
      </c>
      <c r="C256" s="4">
        <v>45660</v>
      </c>
      <c r="D256" t="s">
        <v>4623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  <c r="V256" t="str">
        <f t="shared" si="37"/>
        <v>January</v>
      </c>
      <c r="W256" t="str">
        <f t="shared" si="38"/>
        <v>OK</v>
      </c>
      <c r="X256" t="str">
        <f t="shared" si="39"/>
        <v>OK</v>
      </c>
      <c r="Y256">
        <f t="shared" si="33"/>
        <v>0.2</v>
      </c>
      <c r="Z256">
        <f t="shared" si="34"/>
        <v>1</v>
      </c>
      <c r="AA256">
        <f t="shared" si="40"/>
        <v>2470.56</v>
      </c>
      <c r="AB256">
        <f t="shared" si="41"/>
        <v>5603.08</v>
      </c>
      <c r="AC256">
        <f t="shared" si="42"/>
        <v>2</v>
      </c>
      <c r="AD256" t="str">
        <f t="shared" si="35"/>
        <v>West</v>
      </c>
      <c r="AE256" t="str">
        <f t="shared" si="43"/>
        <v>Clean</v>
      </c>
      <c r="AF256" t="str">
        <f t="shared" si="36"/>
        <v>Same Day</v>
      </c>
    </row>
    <row r="257" spans="1:32">
      <c r="A257" t="s">
        <v>4624</v>
      </c>
      <c r="B257" s="4">
        <v>45749</v>
      </c>
      <c r="C257" s="4">
        <v>45932</v>
      </c>
      <c r="D257" t="s">
        <v>4625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  <c r="V257" t="str">
        <f t="shared" si="37"/>
        <v>October</v>
      </c>
      <c r="W257" t="str">
        <f t="shared" si="38"/>
        <v>OK</v>
      </c>
      <c r="X257" t="str">
        <f t="shared" si="39"/>
        <v>OK</v>
      </c>
      <c r="Y257">
        <f t="shared" si="33"/>
        <v>0</v>
      </c>
      <c r="Z257">
        <f t="shared" si="34"/>
        <v>1</v>
      </c>
      <c r="AA257">
        <f t="shared" si="40"/>
        <v>3475.8799999999992</v>
      </c>
      <c r="AB257">
        <f t="shared" si="41"/>
        <v>12810</v>
      </c>
      <c r="AC257">
        <f t="shared" si="42"/>
        <v>183</v>
      </c>
      <c r="AD257" t="str">
        <f t="shared" si="35"/>
        <v>West</v>
      </c>
      <c r="AE257" t="str">
        <f t="shared" si="43"/>
        <v>Clean</v>
      </c>
      <c r="AF257" t="str">
        <f t="shared" si="36"/>
        <v>First Class</v>
      </c>
    </row>
    <row r="258" spans="1:32">
      <c r="A258" t="s">
        <v>4626</v>
      </c>
      <c r="B258" s="4">
        <v>45423</v>
      </c>
      <c r="C258" s="4">
        <v>45599</v>
      </c>
      <c r="D258" t="s">
        <v>4627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  <c r="V258" t="str">
        <f t="shared" si="37"/>
        <v>November</v>
      </c>
      <c r="W258" t="str">
        <f t="shared" si="38"/>
        <v>OK</v>
      </c>
      <c r="X258" t="str">
        <f t="shared" si="39"/>
        <v>OK</v>
      </c>
      <c r="Y258">
        <f t="shared" ref="Y258:Y321" si="44">IF(P258 ="",0,P258)</f>
        <v>0.05</v>
      </c>
      <c r="Z258">
        <f t="shared" ref="Z258:Z321" si="45">COUNTIF(A:A,A258)</f>
        <v>1</v>
      </c>
      <c r="AA258">
        <f t="shared" si="40"/>
        <v>7288.7155000000021</v>
      </c>
      <c r="AB258">
        <f t="shared" si="41"/>
        <v>19328.215500000002</v>
      </c>
      <c r="AC258">
        <f t="shared" si="42"/>
        <v>176</v>
      </c>
      <c r="AD258" t="str">
        <f t="shared" ref="AD258:AD321" si="46">IF(G258="","Unknown",G258)</f>
        <v>East</v>
      </c>
      <c r="AE258" t="str">
        <f t="shared" si="43"/>
        <v>Clean</v>
      </c>
      <c r="AF258" t="str">
        <f t="shared" ref="AF258:AF321" si="47">IF(M258="","Unknown",M258)</f>
        <v>First Class</v>
      </c>
    </row>
    <row r="259" spans="1:32">
      <c r="A259" t="s">
        <v>4628</v>
      </c>
      <c r="B259" s="4">
        <v>45908</v>
      </c>
      <c r="C259" s="4">
        <v>45881</v>
      </c>
      <c r="D259" t="s">
        <v>4629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  <c r="V259" t="str">
        <f t="shared" ref="V259:V322" si="48">TEXT(C259,"MMMM")</f>
        <v>August</v>
      </c>
      <c r="W259" s="5" t="str">
        <f t="shared" ref="W259:W322" si="49">IF(B259&lt;C259,"OK","Invalid")</f>
        <v>Invalid</v>
      </c>
      <c r="X259" t="str">
        <f t="shared" ref="X259:X322" si="50">IF(P259&lt;0,"Negative Discount","OK")</f>
        <v>OK</v>
      </c>
      <c r="Y259">
        <f t="shared" si="44"/>
        <v>0</v>
      </c>
      <c r="Z259">
        <f t="shared" si="45"/>
        <v>1</v>
      </c>
      <c r="AA259">
        <f t="shared" ref="AA259:AA322" si="51">AB259-R259</f>
        <v>1378.63</v>
      </c>
      <c r="AB259">
        <f t="shared" ref="AB259:AB322" si="52">N259*O259*(1-Y259)</f>
        <v>6474.54</v>
      </c>
      <c r="AC259" s="5">
        <f t="shared" ref="AC259:AC322" si="53">C259-B259</f>
        <v>-27</v>
      </c>
      <c r="AD259" t="str">
        <f t="shared" si="46"/>
        <v>South</v>
      </c>
      <c r="AE259" t="str">
        <f t="shared" ref="AE259:AE322" si="54">IF(OR(P259&lt;0,P259&gt;1,C259&lt;B259),"Invalid",IF(OR(G259="Unknown",M259="Unknown"),"Warning","Clean"))</f>
        <v>Invalid</v>
      </c>
      <c r="AF259" t="str">
        <f t="shared" si="47"/>
        <v>Second Class</v>
      </c>
    </row>
    <row r="260" spans="1:32">
      <c r="A260" t="s">
        <v>4630</v>
      </c>
      <c r="B260" s="4">
        <v>45656</v>
      </c>
      <c r="C260" s="4">
        <v>45661</v>
      </c>
      <c r="D260" t="s">
        <v>4631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  <c r="V260" t="str">
        <f t="shared" si="48"/>
        <v>January</v>
      </c>
      <c r="W260" t="str">
        <f t="shared" si="49"/>
        <v>OK</v>
      </c>
      <c r="X260" t="str">
        <f t="shared" si="50"/>
        <v>OK</v>
      </c>
      <c r="Y260">
        <f t="shared" si="44"/>
        <v>0.25</v>
      </c>
      <c r="Z260">
        <f t="shared" si="45"/>
        <v>1</v>
      </c>
      <c r="AA260">
        <f t="shared" si="51"/>
        <v>1273.0950000000003</v>
      </c>
      <c r="AB260">
        <f t="shared" si="52"/>
        <v>5580.1050000000005</v>
      </c>
      <c r="AC260">
        <f t="shared" si="53"/>
        <v>5</v>
      </c>
      <c r="AD260" t="str">
        <f t="shared" si="46"/>
        <v>South</v>
      </c>
      <c r="AE260" t="str">
        <f t="shared" si="54"/>
        <v>Clean</v>
      </c>
      <c r="AF260" t="str">
        <f t="shared" si="47"/>
        <v>Same Day</v>
      </c>
    </row>
    <row r="261" spans="1:32">
      <c r="A261" t="s">
        <v>4632</v>
      </c>
      <c r="B261" s="4">
        <v>45464</v>
      </c>
      <c r="C261" s="4">
        <v>45472</v>
      </c>
      <c r="D261" t="s">
        <v>4633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  <c r="V261" t="str">
        <f t="shared" si="48"/>
        <v>June</v>
      </c>
      <c r="W261" t="str">
        <f t="shared" si="49"/>
        <v>OK</v>
      </c>
      <c r="X261" t="str">
        <f t="shared" si="50"/>
        <v>OK</v>
      </c>
      <c r="Y261">
        <f t="shared" si="44"/>
        <v>0.2</v>
      </c>
      <c r="Z261">
        <f t="shared" si="45"/>
        <v>1</v>
      </c>
      <c r="AA261">
        <f t="shared" si="51"/>
        <v>7827.9480000000003</v>
      </c>
      <c r="AB261">
        <f t="shared" si="52"/>
        <v>18265.088</v>
      </c>
      <c r="AC261">
        <f t="shared" si="53"/>
        <v>8</v>
      </c>
      <c r="AD261" t="str">
        <f t="shared" si="46"/>
        <v>South</v>
      </c>
      <c r="AE261" t="str">
        <f t="shared" si="54"/>
        <v>Clean</v>
      </c>
      <c r="AF261" t="str">
        <f t="shared" si="47"/>
        <v>Standard Class</v>
      </c>
    </row>
    <row r="262" spans="1:32">
      <c r="A262" t="s">
        <v>4634</v>
      </c>
      <c r="B262" s="4">
        <v>45923</v>
      </c>
      <c r="C262" s="4">
        <v>45927</v>
      </c>
      <c r="D262" t="s">
        <v>4635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  <c r="V262" t="str">
        <f t="shared" si="48"/>
        <v>September</v>
      </c>
      <c r="W262" t="str">
        <f t="shared" si="49"/>
        <v>OK</v>
      </c>
      <c r="X262" t="str">
        <f t="shared" si="50"/>
        <v>OK</v>
      </c>
      <c r="Y262">
        <f t="shared" si="44"/>
        <v>0.25</v>
      </c>
      <c r="Z262">
        <f t="shared" si="45"/>
        <v>1</v>
      </c>
      <c r="AA262">
        <f t="shared" si="51"/>
        <v>4318.7300000000014</v>
      </c>
      <c r="AB262">
        <f t="shared" si="52"/>
        <v>15209.880000000001</v>
      </c>
      <c r="AC262">
        <f t="shared" si="53"/>
        <v>4</v>
      </c>
      <c r="AD262" t="str">
        <f t="shared" si="46"/>
        <v>East</v>
      </c>
      <c r="AE262" t="str">
        <f t="shared" si="54"/>
        <v>Clean</v>
      </c>
      <c r="AF262" t="str">
        <f t="shared" si="47"/>
        <v>Same Day</v>
      </c>
    </row>
    <row r="263" spans="1:32">
      <c r="A263" t="s">
        <v>4636</v>
      </c>
      <c r="B263" s="4">
        <v>45826</v>
      </c>
      <c r="C263" s="4">
        <v>45832</v>
      </c>
      <c r="D263" t="s">
        <v>4637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  <c r="V263" t="str">
        <f t="shared" si="48"/>
        <v>June</v>
      </c>
      <c r="W263" t="str">
        <f t="shared" si="49"/>
        <v>OK</v>
      </c>
      <c r="X263" t="str">
        <f t="shared" si="50"/>
        <v>OK</v>
      </c>
      <c r="Y263">
        <f t="shared" si="44"/>
        <v>0.2</v>
      </c>
      <c r="Z263">
        <f t="shared" si="45"/>
        <v>1</v>
      </c>
      <c r="AA263">
        <f t="shared" si="51"/>
        <v>660.26600000000042</v>
      </c>
      <c r="AB263">
        <f t="shared" si="52"/>
        <v>1648.1760000000004</v>
      </c>
      <c r="AC263">
        <f t="shared" si="53"/>
        <v>6</v>
      </c>
      <c r="AD263" t="str">
        <f t="shared" si="46"/>
        <v>North</v>
      </c>
      <c r="AE263" t="str">
        <f t="shared" si="54"/>
        <v>Clean</v>
      </c>
      <c r="AF263" t="str">
        <f t="shared" si="47"/>
        <v>Standard Class</v>
      </c>
    </row>
    <row r="264" spans="1:32">
      <c r="A264" t="s">
        <v>4638</v>
      </c>
      <c r="B264" s="4">
        <v>45803</v>
      </c>
      <c r="C264" s="4">
        <v>45809</v>
      </c>
      <c r="D264" t="s">
        <v>4463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  <c r="V264" t="str">
        <f t="shared" si="48"/>
        <v>June</v>
      </c>
      <c r="W264" t="str">
        <f t="shared" si="49"/>
        <v>OK</v>
      </c>
      <c r="X264" t="str">
        <f t="shared" si="50"/>
        <v>OK</v>
      </c>
      <c r="Y264">
        <f t="shared" si="44"/>
        <v>0</v>
      </c>
      <c r="Z264">
        <f t="shared" si="45"/>
        <v>1</v>
      </c>
      <c r="AA264">
        <f t="shared" si="51"/>
        <v>4818.09</v>
      </c>
      <c r="AB264">
        <f t="shared" si="52"/>
        <v>13399.44</v>
      </c>
      <c r="AC264">
        <f t="shared" si="53"/>
        <v>6</v>
      </c>
      <c r="AD264" t="str">
        <f t="shared" si="46"/>
        <v>North</v>
      </c>
      <c r="AE264" t="str">
        <f t="shared" si="54"/>
        <v>Clean</v>
      </c>
      <c r="AF264" t="str">
        <f t="shared" si="47"/>
        <v>Same Day</v>
      </c>
    </row>
    <row r="265" spans="1:32">
      <c r="A265" t="s">
        <v>4639</v>
      </c>
      <c r="B265" s="4">
        <v>45816</v>
      </c>
      <c r="C265" s="4">
        <v>45879</v>
      </c>
      <c r="D265" t="s">
        <v>4640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  <c r="V265" t="str">
        <f t="shared" si="48"/>
        <v>August</v>
      </c>
      <c r="W265" t="str">
        <f t="shared" si="49"/>
        <v>OK</v>
      </c>
      <c r="X265" t="str">
        <f t="shared" si="50"/>
        <v>OK</v>
      </c>
      <c r="Y265">
        <f t="shared" si="44"/>
        <v>0.1</v>
      </c>
      <c r="Z265">
        <f t="shared" si="45"/>
        <v>1</v>
      </c>
      <c r="AA265">
        <f t="shared" si="51"/>
        <v>10291.794999999998</v>
      </c>
      <c r="AB265">
        <f t="shared" si="52"/>
        <v>32743.844999999998</v>
      </c>
      <c r="AC265">
        <f t="shared" si="53"/>
        <v>63</v>
      </c>
      <c r="AD265" t="str">
        <f t="shared" si="46"/>
        <v>North</v>
      </c>
      <c r="AE265" t="str">
        <f t="shared" si="54"/>
        <v>Clean</v>
      </c>
      <c r="AF265" t="str">
        <f t="shared" si="47"/>
        <v>Second Class</v>
      </c>
    </row>
    <row r="266" spans="1:32">
      <c r="A266" t="s">
        <v>4641</v>
      </c>
      <c r="B266" s="4">
        <v>45428</v>
      </c>
      <c r="C266" s="4">
        <v>45433</v>
      </c>
      <c r="D266" t="s">
        <v>4642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  <c r="V266" t="str">
        <f t="shared" si="48"/>
        <v>May</v>
      </c>
      <c r="W266" t="str">
        <f t="shared" si="49"/>
        <v>OK</v>
      </c>
      <c r="X266" t="str">
        <f t="shared" si="50"/>
        <v>OK</v>
      </c>
      <c r="Y266">
        <f t="shared" si="44"/>
        <v>0</v>
      </c>
      <c r="Z266">
        <f t="shared" si="45"/>
        <v>1</v>
      </c>
      <c r="AA266">
        <f t="shared" si="51"/>
        <v>2084.64</v>
      </c>
      <c r="AB266">
        <f t="shared" si="52"/>
        <v>6012.28</v>
      </c>
      <c r="AC266">
        <f t="shared" si="53"/>
        <v>5</v>
      </c>
      <c r="AD266" t="str">
        <f t="shared" si="46"/>
        <v>East</v>
      </c>
      <c r="AE266" t="str">
        <f t="shared" si="54"/>
        <v>Clean</v>
      </c>
      <c r="AF266" t="str">
        <f t="shared" si="47"/>
        <v>Standard Class</v>
      </c>
    </row>
    <row r="267" spans="1:32">
      <c r="A267" t="s">
        <v>4643</v>
      </c>
      <c r="B267" s="4">
        <v>45610</v>
      </c>
      <c r="C267" s="4">
        <v>45618</v>
      </c>
      <c r="D267" t="s">
        <v>4644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  <c r="V267" t="str">
        <f t="shared" si="48"/>
        <v>November</v>
      </c>
      <c r="W267" t="str">
        <f t="shared" si="49"/>
        <v>OK</v>
      </c>
      <c r="X267" t="str">
        <f t="shared" si="50"/>
        <v>OK</v>
      </c>
      <c r="Y267">
        <f t="shared" si="44"/>
        <v>0.15</v>
      </c>
      <c r="Z267">
        <f t="shared" si="45"/>
        <v>1</v>
      </c>
      <c r="AA267">
        <f t="shared" si="51"/>
        <v>209.8845</v>
      </c>
      <c r="AB267">
        <f t="shared" si="52"/>
        <v>495.0145</v>
      </c>
      <c r="AC267">
        <f t="shared" si="53"/>
        <v>8</v>
      </c>
      <c r="AD267" t="str">
        <f t="shared" si="46"/>
        <v>East</v>
      </c>
      <c r="AE267" t="str">
        <f t="shared" si="54"/>
        <v>Clean</v>
      </c>
      <c r="AF267" t="str">
        <f t="shared" si="47"/>
        <v>Same Day</v>
      </c>
    </row>
    <row r="268" spans="1:32">
      <c r="A268" t="s">
        <v>4645</v>
      </c>
      <c r="B268" s="4">
        <v>45721</v>
      </c>
      <c r="C268" s="4">
        <v>45787</v>
      </c>
      <c r="D268" t="s">
        <v>4646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  <c r="V268" t="str">
        <f t="shared" si="48"/>
        <v>May</v>
      </c>
      <c r="W268" t="str">
        <f t="shared" si="49"/>
        <v>OK</v>
      </c>
      <c r="X268" t="str">
        <f t="shared" si="50"/>
        <v>OK</v>
      </c>
      <c r="Y268">
        <f t="shared" si="44"/>
        <v>0</v>
      </c>
      <c r="Z268">
        <f t="shared" si="45"/>
        <v>1</v>
      </c>
      <c r="AA268">
        <f t="shared" si="51"/>
        <v>2847.1499999999996</v>
      </c>
      <c r="AB268">
        <f t="shared" si="52"/>
        <v>13017.72</v>
      </c>
      <c r="AC268">
        <f t="shared" si="53"/>
        <v>66</v>
      </c>
      <c r="AD268" t="str">
        <f t="shared" si="46"/>
        <v>West</v>
      </c>
      <c r="AE268" t="str">
        <f t="shared" si="54"/>
        <v>Clean</v>
      </c>
      <c r="AF268" t="str">
        <f t="shared" si="47"/>
        <v>Second Class</v>
      </c>
    </row>
    <row r="269" spans="1:32">
      <c r="A269" t="s">
        <v>4647</v>
      </c>
      <c r="B269" s="4">
        <v>45805</v>
      </c>
      <c r="C269" s="4">
        <v>45812</v>
      </c>
      <c r="D269" t="s">
        <v>4648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  <c r="V269" t="str">
        <f t="shared" si="48"/>
        <v>June</v>
      </c>
      <c r="W269" t="str">
        <f t="shared" si="49"/>
        <v>OK</v>
      </c>
      <c r="X269" t="str">
        <f t="shared" si="50"/>
        <v>OK</v>
      </c>
      <c r="Y269">
        <f t="shared" si="44"/>
        <v>0.25</v>
      </c>
      <c r="Z269">
        <f t="shared" si="45"/>
        <v>1</v>
      </c>
      <c r="AA269">
        <f t="shared" si="51"/>
        <v>228.18000000000006</v>
      </c>
      <c r="AB269">
        <f t="shared" si="52"/>
        <v>785.40000000000009</v>
      </c>
      <c r="AC269">
        <f t="shared" si="53"/>
        <v>7</v>
      </c>
      <c r="AD269" t="str">
        <f t="shared" si="46"/>
        <v>East</v>
      </c>
      <c r="AE269" t="str">
        <f t="shared" si="54"/>
        <v>Clean</v>
      </c>
      <c r="AF269" t="str">
        <f t="shared" si="47"/>
        <v>First Class</v>
      </c>
    </row>
    <row r="270" spans="1:32">
      <c r="A270" t="s">
        <v>4649</v>
      </c>
      <c r="B270" s="4">
        <v>45886</v>
      </c>
      <c r="C270" s="4">
        <v>45886</v>
      </c>
      <c r="D270" t="s">
        <v>4650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  <c r="V270" t="str">
        <f t="shared" si="48"/>
        <v>August</v>
      </c>
      <c r="W270" s="5" t="str">
        <f t="shared" si="49"/>
        <v>Invalid</v>
      </c>
      <c r="X270" t="str">
        <f t="shared" si="50"/>
        <v>OK</v>
      </c>
      <c r="Y270">
        <f t="shared" si="44"/>
        <v>0.25</v>
      </c>
      <c r="Z270">
        <f t="shared" si="45"/>
        <v>1</v>
      </c>
      <c r="AA270">
        <f t="shared" si="51"/>
        <v>1194.4500000000003</v>
      </c>
      <c r="AB270">
        <f t="shared" si="52"/>
        <v>3319.05</v>
      </c>
      <c r="AC270">
        <f t="shared" si="53"/>
        <v>0</v>
      </c>
      <c r="AD270" t="str">
        <f t="shared" si="46"/>
        <v>North</v>
      </c>
      <c r="AE270" t="str">
        <f t="shared" si="54"/>
        <v>Clean</v>
      </c>
      <c r="AF270" t="str">
        <f t="shared" si="47"/>
        <v>First Class</v>
      </c>
    </row>
    <row r="271" spans="1:32">
      <c r="A271" t="s">
        <v>4651</v>
      </c>
      <c r="B271" s="4">
        <v>45932</v>
      </c>
      <c r="C271" s="4">
        <v>45993</v>
      </c>
      <c r="D271" t="s">
        <v>4652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  <c r="V271" t="str">
        <f t="shared" si="48"/>
        <v>December</v>
      </c>
      <c r="W271" t="str">
        <f t="shared" si="49"/>
        <v>OK</v>
      </c>
      <c r="X271" t="str">
        <f t="shared" si="50"/>
        <v>OK</v>
      </c>
      <c r="Y271">
        <f t="shared" si="44"/>
        <v>0</v>
      </c>
      <c r="Z271">
        <f t="shared" si="45"/>
        <v>1</v>
      </c>
      <c r="AA271">
        <f t="shared" si="51"/>
        <v>603.9699999999998</v>
      </c>
      <c r="AB271">
        <f t="shared" si="52"/>
        <v>1925.86</v>
      </c>
      <c r="AC271">
        <f t="shared" si="53"/>
        <v>61</v>
      </c>
      <c r="AD271" t="str">
        <f t="shared" si="46"/>
        <v>West</v>
      </c>
      <c r="AE271" t="str">
        <f t="shared" si="54"/>
        <v>Clean</v>
      </c>
      <c r="AF271" t="str">
        <f t="shared" si="47"/>
        <v>Same Day</v>
      </c>
    </row>
    <row r="272" spans="1:32">
      <c r="A272" t="s">
        <v>4653</v>
      </c>
      <c r="B272" s="4">
        <v>45627</v>
      </c>
      <c r="C272" s="4">
        <v>45304</v>
      </c>
      <c r="D272" t="s">
        <v>4654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  <c r="V272" t="str">
        <f t="shared" si="48"/>
        <v>January</v>
      </c>
      <c r="W272" s="5" t="str">
        <f t="shared" si="49"/>
        <v>Invalid</v>
      </c>
      <c r="X272" t="str">
        <f t="shared" si="50"/>
        <v>OK</v>
      </c>
      <c r="Y272">
        <f t="shared" si="44"/>
        <v>0</v>
      </c>
      <c r="Z272">
        <f t="shared" si="45"/>
        <v>1</v>
      </c>
      <c r="AA272">
        <f t="shared" si="51"/>
        <v>962.11000000000013</v>
      </c>
      <c r="AB272">
        <f t="shared" si="52"/>
        <v>2482.3200000000002</v>
      </c>
      <c r="AC272" s="5">
        <f t="shared" si="53"/>
        <v>-323</v>
      </c>
      <c r="AD272" t="str">
        <f t="shared" si="46"/>
        <v>North</v>
      </c>
      <c r="AE272" t="str">
        <f t="shared" si="54"/>
        <v>Invalid</v>
      </c>
      <c r="AF272" t="str">
        <f t="shared" si="47"/>
        <v>Same Day</v>
      </c>
    </row>
    <row r="273" spans="1:32">
      <c r="A273" t="s">
        <v>4655</v>
      </c>
      <c r="B273" s="4">
        <v>45647</v>
      </c>
      <c r="C273" s="4">
        <v>45651</v>
      </c>
      <c r="D273" t="s">
        <v>4656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  <c r="V273" t="str">
        <f t="shared" si="48"/>
        <v>December</v>
      </c>
      <c r="W273" t="str">
        <f t="shared" si="49"/>
        <v>OK</v>
      </c>
      <c r="X273" t="str">
        <f t="shared" si="50"/>
        <v>OK</v>
      </c>
      <c r="Y273">
        <f t="shared" si="44"/>
        <v>0</v>
      </c>
      <c r="Z273">
        <f t="shared" si="45"/>
        <v>1</v>
      </c>
      <c r="AA273">
        <f t="shared" si="51"/>
        <v>2053.0599999999995</v>
      </c>
      <c r="AB273">
        <f t="shared" si="52"/>
        <v>11674.25</v>
      </c>
      <c r="AC273">
        <f t="shared" si="53"/>
        <v>4</v>
      </c>
      <c r="AD273" t="str">
        <f t="shared" si="46"/>
        <v>South</v>
      </c>
      <c r="AE273" t="str">
        <f t="shared" si="54"/>
        <v>Clean</v>
      </c>
      <c r="AF273" t="str">
        <f t="shared" si="47"/>
        <v>Standard Class</v>
      </c>
    </row>
    <row r="274" spans="1:32">
      <c r="A274" t="s">
        <v>4657</v>
      </c>
      <c r="B274" s="4">
        <v>45522</v>
      </c>
      <c r="C274" s="4">
        <v>45528</v>
      </c>
      <c r="D274" t="s">
        <v>4658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s="6" t="s">
        <v>35</v>
      </c>
      <c r="V274" t="str">
        <f t="shared" si="48"/>
        <v>August</v>
      </c>
      <c r="W274" t="str">
        <f t="shared" si="49"/>
        <v>OK</v>
      </c>
      <c r="X274" t="str">
        <f t="shared" si="50"/>
        <v>OK</v>
      </c>
      <c r="Y274">
        <f t="shared" si="44"/>
        <v>0.1</v>
      </c>
      <c r="Z274" s="5">
        <f t="shared" si="45"/>
        <v>2</v>
      </c>
      <c r="AA274">
        <f t="shared" si="51"/>
        <v>1318.9230000000002</v>
      </c>
      <c r="AB274">
        <f t="shared" si="52"/>
        <v>3510.4230000000002</v>
      </c>
      <c r="AC274">
        <f t="shared" si="53"/>
        <v>6</v>
      </c>
      <c r="AD274" t="str">
        <f t="shared" si="46"/>
        <v>South</v>
      </c>
      <c r="AE274" t="str">
        <f t="shared" si="54"/>
        <v>Clean</v>
      </c>
      <c r="AF274" t="str">
        <f t="shared" si="47"/>
        <v>First Class</v>
      </c>
    </row>
    <row r="275" spans="1:32">
      <c r="A275" t="s">
        <v>4659</v>
      </c>
      <c r="B275" s="4">
        <v>45701</v>
      </c>
      <c r="C275" s="4">
        <v>45701</v>
      </c>
      <c r="D275" t="s">
        <v>4660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  <c r="V275" t="str">
        <f t="shared" si="48"/>
        <v>February</v>
      </c>
      <c r="W275" s="5" t="str">
        <f t="shared" si="49"/>
        <v>Invalid</v>
      </c>
      <c r="X275" t="str">
        <f t="shared" si="50"/>
        <v>OK</v>
      </c>
      <c r="Y275">
        <f t="shared" si="44"/>
        <v>0</v>
      </c>
      <c r="Z275">
        <f t="shared" si="45"/>
        <v>1</v>
      </c>
      <c r="AA275">
        <f t="shared" si="51"/>
        <v>7289.3100000000013</v>
      </c>
      <c r="AB275">
        <f t="shared" si="52"/>
        <v>22694.670000000002</v>
      </c>
      <c r="AC275">
        <f t="shared" si="53"/>
        <v>0</v>
      </c>
      <c r="AD275" t="str">
        <f t="shared" si="46"/>
        <v>East</v>
      </c>
      <c r="AE275" t="str">
        <f t="shared" si="54"/>
        <v>Clean</v>
      </c>
      <c r="AF275" t="str">
        <f t="shared" si="47"/>
        <v>Second Class</v>
      </c>
    </row>
    <row r="276" spans="1:32">
      <c r="A276" t="s">
        <v>4661</v>
      </c>
      <c r="B276" s="4">
        <v>45389</v>
      </c>
      <c r="C276" s="4">
        <v>45396</v>
      </c>
      <c r="D276" t="s">
        <v>4662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  <c r="V276" t="str">
        <f t="shared" si="48"/>
        <v>April</v>
      </c>
      <c r="W276" t="str">
        <f t="shared" si="49"/>
        <v>OK</v>
      </c>
      <c r="X276" t="str">
        <f t="shared" si="50"/>
        <v>OK</v>
      </c>
      <c r="Y276">
        <f t="shared" si="44"/>
        <v>0.15</v>
      </c>
      <c r="Z276">
        <f t="shared" si="45"/>
        <v>1</v>
      </c>
      <c r="AA276">
        <f t="shared" si="51"/>
        <v>6167.5310000000009</v>
      </c>
      <c r="AB276">
        <f t="shared" si="52"/>
        <v>21658.221000000001</v>
      </c>
      <c r="AC276">
        <f t="shared" si="53"/>
        <v>7</v>
      </c>
      <c r="AD276" t="str">
        <f t="shared" si="46"/>
        <v>South</v>
      </c>
      <c r="AE276" t="str">
        <f t="shared" si="54"/>
        <v>Clean</v>
      </c>
      <c r="AF276" t="str">
        <f t="shared" si="47"/>
        <v>Standard Class</v>
      </c>
    </row>
    <row r="277" spans="1:32">
      <c r="A277" t="s">
        <v>4663</v>
      </c>
      <c r="B277" s="4">
        <v>45337</v>
      </c>
      <c r="C277" s="4">
        <v>45344</v>
      </c>
      <c r="D277" t="s">
        <v>4664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  <c r="V277" t="str">
        <f t="shared" si="48"/>
        <v>February</v>
      </c>
      <c r="W277" t="str">
        <f t="shared" si="49"/>
        <v>OK</v>
      </c>
      <c r="X277" t="str">
        <f t="shared" si="50"/>
        <v>OK</v>
      </c>
      <c r="Y277">
        <f t="shared" si="44"/>
        <v>0</v>
      </c>
      <c r="Z277">
        <f t="shared" si="45"/>
        <v>1</v>
      </c>
      <c r="AA277">
        <f t="shared" si="51"/>
        <v>319.59000000000003</v>
      </c>
      <c r="AB277">
        <f t="shared" si="52"/>
        <v>980.51</v>
      </c>
      <c r="AC277">
        <f t="shared" si="53"/>
        <v>7</v>
      </c>
      <c r="AD277" t="str">
        <f t="shared" si="46"/>
        <v>East</v>
      </c>
      <c r="AE277" t="str">
        <f t="shared" si="54"/>
        <v>Clean</v>
      </c>
      <c r="AF277" t="str">
        <f t="shared" si="47"/>
        <v>Same Day</v>
      </c>
    </row>
    <row r="278" spans="1:32">
      <c r="A278" t="s">
        <v>4665</v>
      </c>
      <c r="B278" s="4">
        <v>45313</v>
      </c>
      <c r="C278" s="4">
        <v>45314</v>
      </c>
      <c r="D278" t="s">
        <v>4666</v>
      </c>
      <c r="E278" t="s">
        <v>162</v>
      </c>
      <c r="F278" t="s">
        <v>41</v>
      </c>
      <c r="G278" t="s">
        <v>4187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  <c r="V278" t="str">
        <f t="shared" si="48"/>
        <v>January</v>
      </c>
      <c r="W278" t="str">
        <f t="shared" si="49"/>
        <v>OK</v>
      </c>
      <c r="X278" s="5" t="str">
        <f t="shared" si="50"/>
        <v>Negative Discount</v>
      </c>
      <c r="Y278">
        <f t="shared" si="44"/>
        <v>-0.14000000000000001</v>
      </c>
      <c r="Z278">
        <f t="shared" si="45"/>
        <v>1</v>
      </c>
      <c r="AA278">
        <f t="shared" si="51"/>
        <v>14784.535200000004</v>
      </c>
      <c r="AB278">
        <f t="shared" si="52"/>
        <v>23198.065200000005</v>
      </c>
      <c r="AC278">
        <f t="shared" si="53"/>
        <v>1</v>
      </c>
      <c r="AD278" s="5" t="str">
        <f t="shared" si="46"/>
        <v>Unknown</v>
      </c>
      <c r="AE278" t="str">
        <f t="shared" si="54"/>
        <v>Invalid</v>
      </c>
      <c r="AF278" t="str">
        <f t="shared" si="47"/>
        <v>Second Class</v>
      </c>
    </row>
    <row r="279" spans="1:32">
      <c r="A279" t="s">
        <v>4667</v>
      </c>
      <c r="B279" s="4">
        <v>45753</v>
      </c>
      <c r="C279" s="4">
        <v>45812</v>
      </c>
      <c r="D279" t="s">
        <v>4569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  <c r="V279" t="str">
        <f t="shared" si="48"/>
        <v>June</v>
      </c>
      <c r="W279" t="str">
        <f t="shared" si="49"/>
        <v>OK</v>
      </c>
      <c r="X279" t="str">
        <f t="shared" si="50"/>
        <v>OK</v>
      </c>
      <c r="Y279">
        <f t="shared" si="44"/>
        <v>0.15</v>
      </c>
      <c r="Z279">
        <f t="shared" si="45"/>
        <v>1</v>
      </c>
      <c r="AA279">
        <f t="shared" si="51"/>
        <v>811.1004999999999</v>
      </c>
      <c r="AB279">
        <f t="shared" si="52"/>
        <v>1813.6704999999999</v>
      </c>
      <c r="AC279">
        <f t="shared" si="53"/>
        <v>59</v>
      </c>
      <c r="AD279" t="str">
        <f t="shared" si="46"/>
        <v>North</v>
      </c>
      <c r="AE279" t="str">
        <f t="shared" si="54"/>
        <v>Clean</v>
      </c>
      <c r="AF279" t="str">
        <f t="shared" si="47"/>
        <v>Second Class</v>
      </c>
    </row>
    <row r="280" spans="1:32">
      <c r="A280" t="s">
        <v>4668</v>
      </c>
      <c r="B280" s="4">
        <v>45723</v>
      </c>
      <c r="C280" s="4">
        <v>45730</v>
      </c>
      <c r="D280" t="s">
        <v>4669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  <c r="V280" t="str">
        <f t="shared" si="48"/>
        <v>March</v>
      </c>
      <c r="W280" t="str">
        <f t="shared" si="49"/>
        <v>OK</v>
      </c>
      <c r="X280" t="str">
        <f t="shared" si="50"/>
        <v>OK</v>
      </c>
      <c r="Y280">
        <f t="shared" si="44"/>
        <v>0.05</v>
      </c>
      <c r="Z280">
        <f t="shared" si="45"/>
        <v>1</v>
      </c>
      <c r="AA280">
        <f t="shared" si="51"/>
        <v>1632.348</v>
      </c>
      <c r="AB280">
        <f t="shared" si="52"/>
        <v>3780.6579999999999</v>
      </c>
      <c r="AC280">
        <f t="shared" si="53"/>
        <v>7</v>
      </c>
      <c r="AD280" t="str">
        <f t="shared" si="46"/>
        <v>North</v>
      </c>
      <c r="AE280" t="str">
        <f t="shared" si="54"/>
        <v>Clean</v>
      </c>
      <c r="AF280" t="str">
        <f t="shared" si="47"/>
        <v>Same Day</v>
      </c>
    </row>
    <row r="281" spans="1:32">
      <c r="A281" t="s">
        <v>4670</v>
      </c>
      <c r="B281" s="4">
        <v>45539</v>
      </c>
      <c r="C281" s="4">
        <v>45392</v>
      </c>
      <c r="D281" t="s">
        <v>4671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  <c r="V281" t="str">
        <f t="shared" si="48"/>
        <v>April</v>
      </c>
      <c r="W281" s="5" t="str">
        <f t="shared" si="49"/>
        <v>Invalid</v>
      </c>
      <c r="X281" t="str">
        <f t="shared" si="50"/>
        <v>OK</v>
      </c>
      <c r="Y281">
        <f t="shared" si="44"/>
        <v>0.05</v>
      </c>
      <c r="Z281">
        <f t="shared" si="45"/>
        <v>1</v>
      </c>
      <c r="AA281">
        <f t="shared" si="51"/>
        <v>1386.9939999999997</v>
      </c>
      <c r="AB281">
        <f t="shared" si="52"/>
        <v>4141.1639999999998</v>
      </c>
      <c r="AC281" s="5">
        <f t="shared" si="53"/>
        <v>-147</v>
      </c>
      <c r="AD281" t="str">
        <f t="shared" si="46"/>
        <v>West</v>
      </c>
      <c r="AE281" t="str">
        <f t="shared" si="54"/>
        <v>Invalid</v>
      </c>
      <c r="AF281" t="str">
        <f t="shared" si="47"/>
        <v>First Class</v>
      </c>
    </row>
    <row r="282" spans="1:32">
      <c r="A282" t="s">
        <v>4672</v>
      </c>
      <c r="B282" s="4">
        <v>45649</v>
      </c>
      <c r="C282" s="4">
        <v>45652</v>
      </c>
      <c r="D282" t="s">
        <v>4673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  <c r="V282" t="str">
        <f t="shared" si="48"/>
        <v>December</v>
      </c>
      <c r="W282" t="str">
        <f t="shared" si="49"/>
        <v>OK</v>
      </c>
      <c r="X282" t="str">
        <f t="shared" si="50"/>
        <v>OK</v>
      </c>
      <c r="Y282">
        <f t="shared" si="44"/>
        <v>0</v>
      </c>
      <c r="Z282">
        <f t="shared" si="45"/>
        <v>1</v>
      </c>
      <c r="AA282">
        <f t="shared" si="51"/>
        <v>3777.6499999999987</v>
      </c>
      <c r="AB282">
        <f t="shared" si="52"/>
        <v>8943.0299999999988</v>
      </c>
      <c r="AC282">
        <f t="shared" si="53"/>
        <v>3</v>
      </c>
      <c r="AD282" t="str">
        <f t="shared" si="46"/>
        <v>South</v>
      </c>
      <c r="AE282" t="str">
        <f t="shared" si="54"/>
        <v>Clean</v>
      </c>
      <c r="AF282" t="str">
        <f t="shared" si="47"/>
        <v>Standard Class</v>
      </c>
    </row>
    <row r="283" spans="1:32">
      <c r="A283" t="s">
        <v>4674</v>
      </c>
      <c r="B283" s="4">
        <v>45863</v>
      </c>
      <c r="C283" s="4">
        <v>45865</v>
      </c>
      <c r="D283" t="s">
        <v>4675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  <c r="V283" t="str">
        <f t="shared" si="48"/>
        <v>July</v>
      </c>
      <c r="W283" t="str">
        <f t="shared" si="49"/>
        <v>OK</v>
      </c>
      <c r="X283" t="str">
        <f t="shared" si="50"/>
        <v>OK</v>
      </c>
      <c r="Y283">
        <f t="shared" si="44"/>
        <v>0.2</v>
      </c>
      <c r="Z283">
        <f t="shared" si="45"/>
        <v>1</v>
      </c>
      <c r="AA283">
        <f t="shared" si="51"/>
        <v>5241.5139999999992</v>
      </c>
      <c r="AB283">
        <f t="shared" si="52"/>
        <v>16504.223999999998</v>
      </c>
      <c r="AC283">
        <f t="shared" si="53"/>
        <v>2</v>
      </c>
      <c r="AD283" t="str">
        <f t="shared" si="46"/>
        <v>East</v>
      </c>
      <c r="AE283" t="str">
        <f t="shared" si="54"/>
        <v>Clean</v>
      </c>
      <c r="AF283" t="str">
        <f t="shared" si="47"/>
        <v>Second Class</v>
      </c>
    </row>
    <row r="284" spans="1:32">
      <c r="A284" t="s">
        <v>4676</v>
      </c>
      <c r="B284" s="4">
        <v>45301</v>
      </c>
      <c r="C284" s="4">
        <v>45332</v>
      </c>
      <c r="D284" t="s">
        <v>4677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  <c r="V284" t="str">
        <f t="shared" si="48"/>
        <v>February</v>
      </c>
      <c r="W284" t="str">
        <f t="shared" si="49"/>
        <v>OK</v>
      </c>
      <c r="X284" t="str">
        <f t="shared" si="50"/>
        <v>OK</v>
      </c>
      <c r="Y284">
        <f t="shared" si="44"/>
        <v>0</v>
      </c>
      <c r="Z284">
        <f t="shared" si="45"/>
        <v>1</v>
      </c>
      <c r="AA284">
        <f t="shared" si="51"/>
        <v>1375.67</v>
      </c>
      <c r="AB284">
        <f t="shared" si="52"/>
        <v>4596</v>
      </c>
      <c r="AC284">
        <f t="shared" si="53"/>
        <v>31</v>
      </c>
      <c r="AD284" t="str">
        <f t="shared" si="46"/>
        <v>East</v>
      </c>
      <c r="AE284" t="str">
        <f t="shared" si="54"/>
        <v>Clean</v>
      </c>
      <c r="AF284" t="str">
        <f t="shared" si="47"/>
        <v>Second Class</v>
      </c>
    </row>
    <row r="285" spans="1:32">
      <c r="A285" t="s">
        <v>4678</v>
      </c>
      <c r="B285" s="4">
        <v>45729</v>
      </c>
      <c r="C285" s="4">
        <v>45736</v>
      </c>
      <c r="D285" t="s">
        <v>4679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  <c r="V285" t="str">
        <f t="shared" si="48"/>
        <v>March</v>
      </c>
      <c r="W285" t="str">
        <f t="shared" si="49"/>
        <v>OK</v>
      </c>
      <c r="X285" t="str">
        <f t="shared" si="50"/>
        <v>OK</v>
      </c>
      <c r="Y285">
        <f t="shared" si="44"/>
        <v>0</v>
      </c>
      <c r="Z285">
        <f t="shared" si="45"/>
        <v>1</v>
      </c>
      <c r="AA285">
        <f t="shared" si="51"/>
        <v>780.54</v>
      </c>
      <c r="AB285">
        <f t="shared" si="52"/>
        <v>1814.01</v>
      </c>
      <c r="AC285">
        <f t="shared" si="53"/>
        <v>7</v>
      </c>
      <c r="AD285" t="str">
        <f t="shared" si="46"/>
        <v>West</v>
      </c>
      <c r="AE285" t="str">
        <f t="shared" si="54"/>
        <v>Clean</v>
      </c>
      <c r="AF285" t="str">
        <f t="shared" si="47"/>
        <v>First Class</v>
      </c>
    </row>
    <row r="286" spans="1:32">
      <c r="A286" t="s">
        <v>4680</v>
      </c>
      <c r="B286" s="4">
        <v>45516</v>
      </c>
      <c r="C286" s="4">
        <v>45640</v>
      </c>
      <c r="D286" t="s">
        <v>4681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  <c r="V286" t="str">
        <f t="shared" si="48"/>
        <v>December</v>
      </c>
      <c r="W286" t="str">
        <f t="shared" si="49"/>
        <v>OK</v>
      </c>
      <c r="X286" t="str">
        <f t="shared" si="50"/>
        <v>OK</v>
      </c>
      <c r="Y286">
        <f t="shared" si="44"/>
        <v>0</v>
      </c>
      <c r="Z286">
        <f t="shared" si="45"/>
        <v>1</v>
      </c>
      <c r="AA286">
        <f t="shared" si="51"/>
        <v>1591.0300000000002</v>
      </c>
      <c r="AB286">
        <f t="shared" si="52"/>
        <v>4730.76</v>
      </c>
      <c r="AC286">
        <f t="shared" si="53"/>
        <v>124</v>
      </c>
      <c r="AD286" t="str">
        <f t="shared" si="46"/>
        <v>East</v>
      </c>
      <c r="AE286" t="str">
        <f t="shared" si="54"/>
        <v>Clean</v>
      </c>
      <c r="AF286" t="str">
        <f t="shared" si="47"/>
        <v>Same Day</v>
      </c>
    </row>
    <row r="287" spans="1:32">
      <c r="A287" t="s">
        <v>4682</v>
      </c>
      <c r="B287" s="4">
        <v>45884</v>
      </c>
      <c r="C287" s="4">
        <v>45889</v>
      </c>
      <c r="D287" t="s">
        <v>4683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  <c r="V287" t="str">
        <f t="shared" si="48"/>
        <v>August</v>
      </c>
      <c r="W287" t="str">
        <f t="shared" si="49"/>
        <v>OK</v>
      </c>
      <c r="X287" t="str">
        <f t="shared" si="50"/>
        <v>OK</v>
      </c>
      <c r="Y287">
        <f t="shared" si="44"/>
        <v>0</v>
      </c>
      <c r="Z287">
        <f t="shared" si="45"/>
        <v>1</v>
      </c>
      <c r="AA287">
        <f t="shared" si="51"/>
        <v>5915.09</v>
      </c>
      <c r="AB287">
        <f t="shared" si="52"/>
        <v>36735.93</v>
      </c>
      <c r="AC287">
        <f t="shared" si="53"/>
        <v>5</v>
      </c>
      <c r="AD287" t="str">
        <f t="shared" si="46"/>
        <v>North</v>
      </c>
      <c r="AE287" t="str">
        <f t="shared" si="54"/>
        <v>Clean</v>
      </c>
      <c r="AF287" t="str">
        <f t="shared" si="47"/>
        <v>Standard Class</v>
      </c>
    </row>
    <row r="288" spans="1:32">
      <c r="A288" t="s">
        <v>4684</v>
      </c>
      <c r="B288" s="4">
        <v>45350</v>
      </c>
      <c r="C288" s="4">
        <v>45325</v>
      </c>
      <c r="D288" t="s">
        <v>4685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  <c r="V288" t="str">
        <f t="shared" si="48"/>
        <v>February</v>
      </c>
      <c r="W288" s="5" t="str">
        <f t="shared" si="49"/>
        <v>Invalid</v>
      </c>
      <c r="X288" t="str">
        <f t="shared" si="50"/>
        <v>OK</v>
      </c>
      <c r="Y288">
        <f t="shared" si="44"/>
        <v>0.1</v>
      </c>
      <c r="Z288">
        <f t="shared" si="45"/>
        <v>1</v>
      </c>
      <c r="AA288">
        <f t="shared" si="51"/>
        <v>1931.3599999999992</v>
      </c>
      <c r="AB288">
        <f t="shared" si="52"/>
        <v>4421.3399999999992</v>
      </c>
      <c r="AC288" s="5">
        <f t="shared" si="53"/>
        <v>-25</v>
      </c>
      <c r="AD288" t="str">
        <f t="shared" si="46"/>
        <v>North</v>
      </c>
      <c r="AE288" t="str">
        <f t="shared" si="54"/>
        <v>Invalid</v>
      </c>
      <c r="AF288" t="str">
        <f t="shared" si="47"/>
        <v>First Class</v>
      </c>
    </row>
    <row r="289" spans="1:32">
      <c r="A289" t="s">
        <v>4686</v>
      </c>
      <c r="B289" s="4">
        <v>45421</v>
      </c>
      <c r="C289" s="4">
        <v>45542</v>
      </c>
      <c r="D289" t="s">
        <v>4687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  <c r="V289" t="str">
        <f t="shared" si="48"/>
        <v>September</v>
      </c>
      <c r="W289" t="str">
        <f t="shared" si="49"/>
        <v>OK</v>
      </c>
      <c r="X289" t="str">
        <f t="shared" si="50"/>
        <v>OK</v>
      </c>
      <c r="Y289">
        <f t="shared" si="44"/>
        <v>0.15</v>
      </c>
      <c r="Z289">
        <f t="shared" si="45"/>
        <v>1</v>
      </c>
      <c r="AA289">
        <f t="shared" si="51"/>
        <v>2005.3929999999991</v>
      </c>
      <c r="AB289">
        <f t="shared" si="52"/>
        <v>6516.9329999999991</v>
      </c>
      <c r="AC289">
        <f t="shared" si="53"/>
        <v>121</v>
      </c>
      <c r="AD289" t="str">
        <f t="shared" si="46"/>
        <v>South</v>
      </c>
      <c r="AE289" t="str">
        <f t="shared" si="54"/>
        <v>Clean</v>
      </c>
      <c r="AF289" t="str">
        <f t="shared" si="47"/>
        <v>Standard Class</v>
      </c>
    </row>
    <row r="290" spans="1:32">
      <c r="A290" t="s">
        <v>4688</v>
      </c>
      <c r="B290" s="4">
        <v>45467</v>
      </c>
      <c r="C290" s="4">
        <v>45467</v>
      </c>
      <c r="D290" t="s">
        <v>4689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  <c r="V290" t="str">
        <f t="shared" si="48"/>
        <v>June</v>
      </c>
      <c r="W290" s="5" t="str">
        <f t="shared" si="49"/>
        <v>Invalid</v>
      </c>
      <c r="X290" t="str">
        <f t="shared" si="50"/>
        <v>OK</v>
      </c>
      <c r="Y290">
        <f t="shared" si="44"/>
        <v>0.15</v>
      </c>
      <c r="Z290">
        <f t="shared" si="45"/>
        <v>1</v>
      </c>
      <c r="AA290">
        <f t="shared" si="51"/>
        <v>2507.1999999999989</v>
      </c>
      <c r="AB290">
        <f t="shared" si="52"/>
        <v>7411.829999999999</v>
      </c>
      <c r="AC290">
        <f t="shared" si="53"/>
        <v>0</v>
      </c>
      <c r="AD290" t="str">
        <f t="shared" si="46"/>
        <v>East</v>
      </c>
      <c r="AE290" t="str">
        <f t="shared" si="54"/>
        <v>Clean</v>
      </c>
      <c r="AF290" t="str">
        <f t="shared" si="47"/>
        <v>Same Day</v>
      </c>
    </row>
    <row r="291" spans="1:32">
      <c r="A291" t="s">
        <v>4690</v>
      </c>
      <c r="B291" s="4">
        <v>45827</v>
      </c>
      <c r="C291" s="4">
        <v>45835</v>
      </c>
      <c r="D291" t="s">
        <v>4691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  <c r="V291" t="str">
        <f t="shared" si="48"/>
        <v>June</v>
      </c>
      <c r="W291" t="str">
        <f t="shared" si="49"/>
        <v>OK</v>
      </c>
      <c r="X291" t="str">
        <f t="shared" si="50"/>
        <v>OK</v>
      </c>
      <c r="Y291">
        <f t="shared" si="44"/>
        <v>0.05</v>
      </c>
      <c r="Z291">
        <f t="shared" si="45"/>
        <v>1</v>
      </c>
      <c r="AA291">
        <f t="shared" si="51"/>
        <v>1239.7409999999991</v>
      </c>
      <c r="AB291">
        <f t="shared" si="52"/>
        <v>8258.7109999999993</v>
      </c>
      <c r="AC291">
        <f t="shared" si="53"/>
        <v>8</v>
      </c>
      <c r="AD291" t="str">
        <f t="shared" si="46"/>
        <v>South</v>
      </c>
      <c r="AE291" t="str">
        <f t="shared" si="54"/>
        <v>Clean</v>
      </c>
      <c r="AF291" t="str">
        <f t="shared" si="47"/>
        <v>First Class</v>
      </c>
    </row>
    <row r="292" spans="1:32">
      <c r="A292" t="s">
        <v>4692</v>
      </c>
      <c r="B292" s="4">
        <v>45891</v>
      </c>
      <c r="C292" s="4">
        <v>45895</v>
      </c>
      <c r="D292" t="s">
        <v>4693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  <c r="V292" t="str">
        <f t="shared" si="48"/>
        <v>August</v>
      </c>
      <c r="W292" t="str">
        <f t="shared" si="49"/>
        <v>OK</v>
      </c>
      <c r="X292" t="str">
        <f t="shared" si="50"/>
        <v>OK</v>
      </c>
      <c r="Y292">
        <f t="shared" si="44"/>
        <v>0.1</v>
      </c>
      <c r="Z292">
        <f t="shared" si="45"/>
        <v>1</v>
      </c>
      <c r="AA292">
        <f t="shared" si="51"/>
        <v>687.24700000000018</v>
      </c>
      <c r="AB292">
        <f t="shared" si="52"/>
        <v>1658.3670000000002</v>
      </c>
      <c r="AC292">
        <f t="shared" si="53"/>
        <v>4</v>
      </c>
      <c r="AD292" t="str">
        <f t="shared" si="46"/>
        <v>East</v>
      </c>
      <c r="AE292" t="str">
        <f t="shared" si="54"/>
        <v>Clean</v>
      </c>
      <c r="AF292" t="str">
        <f t="shared" si="47"/>
        <v>Standard Class</v>
      </c>
    </row>
    <row r="293" spans="1:32">
      <c r="A293" t="s">
        <v>4694</v>
      </c>
      <c r="B293" s="4">
        <v>45416</v>
      </c>
      <c r="C293" s="4">
        <v>45392</v>
      </c>
      <c r="D293" t="s">
        <v>4695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  <c r="V293" t="str">
        <f t="shared" si="48"/>
        <v>April</v>
      </c>
      <c r="W293" s="5" t="str">
        <f t="shared" si="49"/>
        <v>Invalid</v>
      </c>
      <c r="X293" t="str">
        <f t="shared" si="50"/>
        <v>OK</v>
      </c>
      <c r="Y293">
        <f t="shared" si="44"/>
        <v>0.25</v>
      </c>
      <c r="Z293">
        <f t="shared" si="45"/>
        <v>1</v>
      </c>
      <c r="AA293">
        <f t="shared" si="51"/>
        <v>1955.9399999999996</v>
      </c>
      <c r="AB293">
        <f t="shared" si="52"/>
        <v>9685.98</v>
      </c>
      <c r="AC293" s="5">
        <f t="shared" si="53"/>
        <v>-24</v>
      </c>
      <c r="AD293" t="str">
        <f t="shared" si="46"/>
        <v>North</v>
      </c>
      <c r="AE293" t="str">
        <f t="shared" si="54"/>
        <v>Invalid</v>
      </c>
      <c r="AF293" t="str">
        <f t="shared" si="47"/>
        <v>Standard Class</v>
      </c>
    </row>
    <row r="294" spans="1:32">
      <c r="A294" t="s">
        <v>4696</v>
      </c>
      <c r="B294" s="4">
        <v>45716</v>
      </c>
      <c r="C294" s="4">
        <v>45719</v>
      </c>
      <c r="D294" t="s">
        <v>4697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  <c r="V294" t="str">
        <f t="shared" si="48"/>
        <v>March</v>
      </c>
      <c r="W294" t="str">
        <f t="shared" si="49"/>
        <v>OK</v>
      </c>
      <c r="X294" t="str">
        <f t="shared" si="50"/>
        <v>OK</v>
      </c>
      <c r="Y294">
        <f t="shared" si="44"/>
        <v>0</v>
      </c>
      <c r="Z294">
        <f t="shared" si="45"/>
        <v>1</v>
      </c>
      <c r="AA294">
        <f t="shared" si="51"/>
        <v>9118.6599999999962</v>
      </c>
      <c r="AB294">
        <f t="shared" si="52"/>
        <v>33740.549999999996</v>
      </c>
      <c r="AC294">
        <f t="shared" si="53"/>
        <v>3</v>
      </c>
      <c r="AD294" t="str">
        <f t="shared" si="46"/>
        <v>North</v>
      </c>
      <c r="AE294" t="str">
        <f t="shared" si="54"/>
        <v>Clean</v>
      </c>
      <c r="AF294" t="str">
        <f t="shared" si="47"/>
        <v>Same Day</v>
      </c>
    </row>
    <row r="295" spans="1:32">
      <c r="A295" t="s">
        <v>4698</v>
      </c>
      <c r="B295" s="4">
        <v>45476</v>
      </c>
      <c r="C295" s="4">
        <v>45362</v>
      </c>
      <c r="D295" t="s">
        <v>4699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  <c r="V295" t="str">
        <f t="shared" si="48"/>
        <v>March</v>
      </c>
      <c r="W295" s="5" t="str">
        <f t="shared" si="49"/>
        <v>Invalid</v>
      </c>
      <c r="X295" t="str">
        <f t="shared" si="50"/>
        <v>OK</v>
      </c>
      <c r="Y295">
        <f t="shared" si="44"/>
        <v>0.65</v>
      </c>
      <c r="Z295">
        <f t="shared" si="45"/>
        <v>1</v>
      </c>
      <c r="AA295">
        <f t="shared" si="51"/>
        <v>-3459.9830000000002</v>
      </c>
      <c r="AB295">
        <f t="shared" si="52"/>
        <v>3081.0569999999998</v>
      </c>
      <c r="AC295" s="5">
        <f t="shared" si="53"/>
        <v>-114</v>
      </c>
      <c r="AD295" t="str">
        <f t="shared" si="46"/>
        <v>South</v>
      </c>
      <c r="AE295" t="str">
        <f t="shared" si="54"/>
        <v>Invalid</v>
      </c>
      <c r="AF295" t="str">
        <f t="shared" si="47"/>
        <v>First Class</v>
      </c>
    </row>
    <row r="296" spans="1:32">
      <c r="A296" t="s">
        <v>4700</v>
      </c>
      <c r="B296" s="4">
        <v>45854</v>
      </c>
      <c r="C296" s="4">
        <v>45860</v>
      </c>
      <c r="D296" t="s">
        <v>4701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  <c r="V296" t="str">
        <f t="shared" si="48"/>
        <v>July</v>
      </c>
      <c r="W296" t="str">
        <f t="shared" si="49"/>
        <v>OK</v>
      </c>
      <c r="X296" t="str">
        <f t="shared" si="50"/>
        <v>OK</v>
      </c>
      <c r="Y296">
        <f t="shared" si="44"/>
        <v>0.25</v>
      </c>
      <c r="Z296">
        <f t="shared" si="45"/>
        <v>1</v>
      </c>
      <c r="AA296">
        <f t="shared" si="51"/>
        <v>6434.5550000000003</v>
      </c>
      <c r="AB296">
        <f t="shared" si="52"/>
        <v>18716.985000000001</v>
      </c>
      <c r="AC296">
        <f t="shared" si="53"/>
        <v>6</v>
      </c>
      <c r="AD296" t="str">
        <f t="shared" si="46"/>
        <v>East</v>
      </c>
      <c r="AE296" t="str">
        <f t="shared" si="54"/>
        <v>Clean</v>
      </c>
      <c r="AF296" t="str">
        <f t="shared" si="47"/>
        <v>Second Class</v>
      </c>
    </row>
    <row r="297" spans="1:32">
      <c r="A297" t="s">
        <v>4702</v>
      </c>
      <c r="B297" s="4">
        <v>45833</v>
      </c>
      <c r="C297" s="4">
        <v>45836</v>
      </c>
      <c r="D297" t="s">
        <v>4703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  <c r="V297" t="str">
        <f t="shared" si="48"/>
        <v>June</v>
      </c>
      <c r="W297" t="str">
        <f t="shared" si="49"/>
        <v>OK</v>
      </c>
      <c r="X297" t="str">
        <f t="shared" si="50"/>
        <v>OK</v>
      </c>
      <c r="Y297">
        <f t="shared" si="44"/>
        <v>0.1</v>
      </c>
      <c r="Z297">
        <f t="shared" si="45"/>
        <v>1</v>
      </c>
      <c r="AA297">
        <f t="shared" si="51"/>
        <v>3556.795000000001</v>
      </c>
      <c r="AB297">
        <f t="shared" si="52"/>
        <v>9385.3350000000009</v>
      </c>
      <c r="AC297">
        <f t="shared" si="53"/>
        <v>3</v>
      </c>
      <c r="AD297" t="str">
        <f t="shared" si="46"/>
        <v>East</v>
      </c>
      <c r="AE297" t="str">
        <f t="shared" si="54"/>
        <v>Clean</v>
      </c>
      <c r="AF297" t="str">
        <f t="shared" si="47"/>
        <v>Standard Class</v>
      </c>
    </row>
    <row r="298" spans="1:32">
      <c r="A298" t="s">
        <v>4704</v>
      </c>
      <c r="B298" s="4">
        <v>45801</v>
      </c>
      <c r="C298" s="4">
        <v>45803</v>
      </c>
      <c r="D298" t="s">
        <v>4705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  <c r="V298" t="str">
        <f t="shared" si="48"/>
        <v>May</v>
      </c>
      <c r="W298" t="str">
        <f t="shared" si="49"/>
        <v>OK</v>
      </c>
      <c r="X298" t="str">
        <f t="shared" si="50"/>
        <v>OK</v>
      </c>
      <c r="Y298">
        <f t="shared" si="44"/>
        <v>0.15</v>
      </c>
      <c r="Z298">
        <f t="shared" si="45"/>
        <v>1</v>
      </c>
      <c r="AA298">
        <f t="shared" si="51"/>
        <v>6971.241</v>
      </c>
      <c r="AB298">
        <f t="shared" si="52"/>
        <v>17826.591</v>
      </c>
      <c r="AC298">
        <f t="shared" si="53"/>
        <v>2</v>
      </c>
      <c r="AD298" t="str">
        <f t="shared" si="46"/>
        <v>North</v>
      </c>
      <c r="AE298" t="str">
        <f t="shared" si="54"/>
        <v>Clean</v>
      </c>
      <c r="AF298" t="str">
        <f t="shared" si="47"/>
        <v>Same Day</v>
      </c>
    </row>
    <row r="299" spans="1:32">
      <c r="A299" t="s">
        <v>4706</v>
      </c>
      <c r="B299" s="4">
        <v>45594</v>
      </c>
      <c r="C299" s="4">
        <v>45602</v>
      </c>
      <c r="D299" t="s">
        <v>4707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  <c r="V299" t="str">
        <f t="shared" si="48"/>
        <v>November</v>
      </c>
      <c r="W299" t="str">
        <f t="shared" si="49"/>
        <v>OK</v>
      </c>
      <c r="X299" t="str">
        <f t="shared" si="50"/>
        <v>OK</v>
      </c>
      <c r="Y299">
        <f t="shared" si="44"/>
        <v>0.15</v>
      </c>
      <c r="Z299">
        <f t="shared" si="45"/>
        <v>1</v>
      </c>
      <c r="AA299">
        <f t="shared" si="51"/>
        <v>1971.8720000000008</v>
      </c>
      <c r="AB299">
        <f t="shared" si="52"/>
        <v>5966.5920000000006</v>
      </c>
      <c r="AC299">
        <f t="shared" si="53"/>
        <v>8</v>
      </c>
      <c r="AD299" t="str">
        <f t="shared" si="46"/>
        <v>South</v>
      </c>
      <c r="AE299" t="str">
        <f t="shared" si="54"/>
        <v>Clean</v>
      </c>
      <c r="AF299" t="str">
        <f t="shared" si="47"/>
        <v>Same Day</v>
      </c>
    </row>
    <row r="300" spans="1:32">
      <c r="A300" t="s">
        <v>4708</v>
      </c>
      <c r="B300" s="4">
        <v>45680</v>
      </c>
      <c r="C300" s="4">
        <v>45683</v>
      </c>
      <c r="D300" t="s">
        <v>4709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  <c r="V300" t="str">
        <f t="shared" si="48"/>
        <v>January</v>
      </c>
      <c r="W300" t="str">
        <f t="shared" si="49"/>
        <v>OK</v>
      </c>
      <c r="X300" t="str">
        <f t="shared" si="50"/>
        <v>OK</v>
      </c>
      <c r="Y300">
        <f t="shared" si="44"/>
        <v>0.2</v>
      </c>
      <c r="Z300">
        <f t="shared" si="45"/>
        <v>1</v>
      </c>
      <c r="AA300">
        <f t="shared" si="51"/>
        <v>341.59400000000028</v>
      </c>
      <c r="AB300">
        <f t="shared" si="52"/>
        <v>1951.5440000000003</v>
      </c>
      <c r="AC300">
        <f t="shared" si="53"/>
        <v>3</v>
      </c>
      <c r="AD300" t="str">
        <f t="shared" si="46"/>
        <v>South</v>
      </c>
      <c r="AE300" t="str">
        <f t="shared" si="54"/>
        <v>Clean</v>
      </c>
      <c r="AF300" t="str">
        <f t="shared" si="47"/>
        <v>First Class</v>
      </c>
    </row>
    <row r="301" spans="1:32">
      <c r="A301" t="s">
        <v>4710</v>
      </c>
      <c r="B301" s="4">
        <v>45602</v>
      </c>
      <c r="C301" s="4">
        <v>45608</v>
      </c>
      <c r="D301" t="s">
        <v>4711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  <c r="V301" t="str">
        <f t="shared" si="48"/>
        <v>November</v>
      </c>
      <c r="W301" t="str">
        <f t="shared" si="49"/>
        <v>OK</v>
      </c>
      <c r="X301" t="str">
        <f t="shared" si="50"/>
        <v>OK</v>
      </c>
      <c r="Y301">
        <f t="shared" si="44"/>
        <v>0.1</v>
      </c>
      <c r="Z301">
        <f t="shared" si="45"/>
        <v>1</v>
      </c>
      <c r="AA301">
        <f t="shared" si="51"/>
        <v>3774.7050000000008</v>
      </c>
      <c r="AB301">
        <f t="shared" si="52"/>
        <v>10830.015000000001</v>
      </c>
      <c r="AC301">
        <f t="shared" si="53"/>
        <v>6</v>
      </c>
      <c r="AD301" t="str">
        <f t="shared" si="46"/>
        <v>West</v>
      </c>
      <c r="AE301" t="str">
        <f t="shared" si="54"/>
        <v>Clean</v>
      </c>
      <c r="AF301" t="str">
        <f t="shared" si="47"/>
        <v>Standard Class</v>
      </c>
    </row>
    <row r="302" spans="1:32">
      <c r="A302" t="s">
        <v>4712</v>
      </c>
      <c r="B302" s="4">
        <v>45397</v>
      </c>
      <c r="C302" s="4">
        <v>45405</v>
      </c>
      <c r="D302" t="s">
        <v>4713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  <c r="V302" t="str">
        <f t="shared" si="48"/>
        <v>April</v>
      </c>
      <c r="W302" t="str">
        <f t="shared" si="49"/>
        <v>OK</v>
      </c>
      <c r="X302" t="str">
        <f t="shared" si="50"/>
        <v>OK</v>
      </c>
      <c r="Y302">
        <f t="shared" si="44"/>
        <v>0.1</v>
      </c>
      <c r="Z302">
        <f t="shared" si="45"/>
        <v>1</v>
      </c>
      <c r="AA302">
        <f t="shared" si="51"/>
        <v>9439.1539999999986</v>
      </c>
      <c r="AB302">
        <f t="shared" si="52"/>
        <v>31539.293999999998</v>
      </c>
      <c r="AC302">
        <f t="shared" si="53"/>
        <v>8</v>
      </c>
      <c r="AD302" t="str">
        <f t="shared" si="46"/>
        <v>North</v>
      </c>
      <c r="AE302" t="str">
        <f t="shared" si="54"/>
        <v>Clean</v>
      </c>
      <c r="AF302" t="str">
        <f t="shared" si="47"/>
        <v>Second Class</v>
      </c>
    </row>
    <row r="303" spans="1:32">
      <c r="A303" t="s">
        <v>4714</v>
      </c>
      <c r="B303" s="4">
        <v>45805</v>
      </c>
      <c r="C303" s="4">
        <v>45809</v>
      </c>
      <c r="D303" t="s">
        <v>4715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  <c r="V303" t="str">
        <f t="shared" si="48"/>
        <v>June</v>
      </c>
      <c r="W303" t="str">
        <f t="shared" si="49"/>
        <v>OK</v>
      </c>
      <c r="X303" t="str">
        <f t="shared" si="50"/>
        <v>OK</v>
      </c>
      <c r="Y303">
        <f t="shared" si="44"/>
        <v>0.05</v>
      </c>
      <c r="Z303">
        <f t="shared" si="45"/>
        <v>1</v>
      </c>
      <c r="AA303">
        <f t="shared" si="51"/>
        <v>2580.2379999999994</v>
      </c>
      <c r="AB303">
        <f t="shared" si="52"/>
        <v>6285.6179999999995</v>
      </c>
      <c r="AC303">
        <f t="shared" si="53"/>
        <v>4</v>
      </c>
      <c r="AD303" t="str">
        <f t="shared" si="46"/>
        <v>East</v>
      </c>
      <c r="AE303" t="str">
        <f t="shared" si="54"/>
        <v>Clean</v>
      </c>
      <c r="AF303" t="str">
        <f t="shared" si="47"/>
        <v>Same Day</v>
      </c>
    </row>
    <row r="304" spans="1:32">
      <c r="A304" t="s">
        <v>4716</v>
      </c>
      <c r="B304" s="4">
        <v>45812</v>
      </c>
      <c r="C304" s="4">
        <v>45820</v>
      </c>
      <c r="D304" t="s">
        <v>4717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30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  <c r="V304" t="str">
        <f t="shared" si="48"/>
        <v>June</v>
      </c>
      <c r="W304" t="str">
        <f t="shared" si="49"/>
        <v>OK</v>
      </c>
      <c r="X304" t="str">
        <f t="shared" si="50"/>
        <v>OK</v>
      </c>
      <c r="Y304">
        <f t="shared" si="44"/>
        <v>0.25</v>
      </c>
      <c r="Z304">
        <f t="shared" si="45"/>
        <v>1</v>
      </c>
      <c r="AA304">
        <f t="shared" si="51"/>
        <v>1630.0900000000001</v>
      </c>
      <c r="AB304">
        <f t="shared" si="52"/>
        <v>4054.92</v>
      </c>
      <c r="AC304">
        <f t="shared" si="53"/>
        <v>8</v>
      </c>
      <c r="AD304" t="str">
        <f t="shared" si="46"/>
        <v>West</v>
      </c>
      <c r="AE304" t="str">
        <f t="shared" si="54"/>
        <v>Clean</v>
      </c>
      <c r="AF304" t="str">
        <f t="shared" si="47"/>
        <v>Same Day</v>
      </c>
    </row>
    <row r="305" spans="1:32">
      <c r="A305" t="s">
        <v>4718</v>
      </c>
      <c r="B305" s="4">
        <v>45466</v>
      </c>
      <c r="C305" s="4">
        <v>45471</v>
      </c>
      <c r="D305" t="s">
        <v>4719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  <c r="V305" t="str">
        <f t="shared" si="48"/>
        <v>June</v>
      </c>
      <c r="W305" t="str">
        <f t="shared" si="49"/>
        <v>OK</v>
      </c>
      <c r="X305" t="str">
        <f t="shared" si="50"/>
        <v>OK</v>
      </c>
      <c r="Y305">
        <f t="shared" si="44"/>
        <v>0.1</v>
      </c>
      <c r="Z305">
        <f t="shared" si="45"/>
        <v>1</v>
      </c>
      <c r="AA305">
        <f t="shared" si="51"/>
        <v>487.55200000000013</v>
      </c>
      <c r="AB305">
        <f t="shared" si="52"/>
        <v>2363.652</v>
      </c>
      <c r="AC305">
        <f t="shared" si="53"/>
        <v>5</v>
      </c>
      <c r="AD305" t="str">
        <f t="shared" si="46"/>
        <v>West</v>
      </c>
      <c r="AE305" t="str">
        <f t="shared" si="54"/>
        <v>Clean</v>
      </c>
      <c r="AF305" t="str">
        <f t="shared" si="47"/>
        <v>Standard Class</v>
      </c>
    </row>
    <row r="306" spans="1:32">
      <c r="A306" t="s">
        <v>4720</v>
      </c>
      <c r="B306" s="4">
        <v>45446</v>
      </c>
      <c r="C306" s="4">
        <v>45364</v>
      </c>
      <c r="D306" t="s">
        <v>4721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  <c r="V306" t="str">
        <f t="shared" si="48"/>
        <v>March</v>
      </c>
      <c r="W306" s="5" t="str">
        <f t="shared" si="49"/>
        <v>Invalid</v>
      </c>
      <c r="X306" t="str">
        <f t="shared" si="50"/>
        <v>OK</v>
      </c>
      <c r="Y306">
        <f t="shared" si="44"/>
        <v>0.1</v>
      </c>
      <c r="Z306">
        <f t="shared" si="45"/>
        <v>1</v>
      </c>
      <c r="AA306">
        <f t="shared" si="51"/>
        <v>2956.4900000000016</v>
      </c>
      <c r="AB306">
        <f t="shared" si="52"/>
        <v>12976.470000000001</v>
      </c>
      <c r="AC306" s="5">
        <f t="shared" si="53"/>
        <v>-82</v>
      </c>
      <c r="AD306" t="str">
        <f t="shared" si="46"/>
        <v>North</v>
      </c>
      <c r="AE306" t="str">
        <f t="shared" si="54"/>
        <v>Invalid</v>
      </c>
      <c r="AF306" t="str">
        <f t="shared" si="47"/>
        <v>Standard Class</v>
      </c>
    </row>
    <row r="307" spans="1:32">
      <c r="A307" t="s">
        <v>4722</v>
      </c>
      <c r="B307" s="4">
        <v>45296</v>
      </c>
      <c r="C307" s="4">
        <v>45327</v>
      </c>
      <c r="D307" t="s">
        <v>4723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  <c r="V307" t="str">
        <f t="shared" si="48"/>
        <v>February</v>
      </c>
      <c r="W307" t="str">
        <f t="shared" si="49"/>
        <v>OK</v>
      </c>
      <c r="X307" t="str">
        <f t="shared" si="50"/>
        <v>OK</v>
      </c>
      <c r="Y307">
        <f t="shared" si="44"/>
        <v>0.55000000000000004</v>
      </c>
      <c r="Z307">
        <f t="shared" si="45"/>
        <v>1</v>
      </c>
      <c r="AA307">
        <f t="shared" si="51"/>
        <v>-2371.0019999999995</v>
      </c>
      <c r="AB307">
        <f t="shared" si="52"/>
        <v>7480.9080000000004</v>
      </c>
      <c r="AC307">
        <f t="shared" si="53"/>
        <v>31</v>
      </c>
      <c r="AD307" t="str">
        <f t="shared" si="46"/>
        <v>East</v>
      </c>
      <c r="AE307" t="str">
        <f t="shared" si="54"/>
        <v>Clean</v>
      </c>
      <c r="AF307" t="str">
        <f t="shared" si="47"/>
        <v>First Class</v>
      </c>
    </row>
    <row r="308" spans="1:32">
      <c r="A308" t="s">
        <v>4724</v>
      </c>
      <c r="B308" s="4">
        <v>45708</v>
      </c>
      <c r="C308" s="4">
        <v>45711</v>
      </c>
      <c r="D308" t="s">
        <v>4725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  <c r="V308" t="str">
        <f t="shared" si="48"/>
        <v>February</v>
      </c>
      <c r="W308" t="str">
        <f t="shared" si="49"/>
        <v>OK</v>
      </c>
      <c r="X308" t="str">
        <f t="shared" si="50"/>
        <v>OK</v>
      </c>
      <c r="Y308">
        <f t="shared" si="44"/>
        <v>0</v>
      </c>
      <c r="Z308">
        <f t="shared" si="45"/>
        <v>1</v>
      </c>
      <c r="AA308">
        <f t="shared" si="51"/>
        <v>4610.25</v>
      </c>
      <c r="AB308">
        <f t="shared" si="52"/>
        <v>14692.44</v>
      </c>
      <c r="AC308">
        <f t="shared" si="53"/>
        <v>3</v>
      </c>
      <c r="AD308" t="str">
        <f t="shared" si="46"/>
        <v>North</v>
      </c>
      <c r="AE308" t="str">
        <f t="shared" si="54"/>
        <v>Clean</v>
      </c>
      <c r="AF308" t="str">
        <f t="shared" si="47"/>
        <v>Second Class</v>
      </c>
    </row>
    <row r="309" spans="1:32">
      <c r="A309" t="s">
        <v>4726</v>
      </c>
      <c r="B309" s="4">
        <v>45998</v>
      </c>
      <c r="C309" s="4">
        <v>45857</v>
      </c>
      <c r="D309" t="s">
        <v>4727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137</v>
      </c>
      <c r="U309" t="s">
        <v>78</v>
      </c>
      <c r="V309" t="str">
        <f t="shared" si="48"/>
        <v>July</v>
      </c>
      <c r="W309" s="5" t="str">
        <f t="shared" si="49"/>
        <v>Invalid</v>
      </c>
      <c r="X309" t="str">
        <f t="shared" si="50"/>
        <v>OK</v>
      </c>
      <c r="Y309">
        <f t="shared" si="44"/>
        <v>0.2</v>
      </c>
      <c r="Z309">
        <f t="shared" si="45"/>
        <v>1</v>
      </c>
      <c r="AA309">
        <f t="shared" si="51"/>
        <v>10534.378000000004</v>
      </c>
      <c r="AB309">
        <f t="shared" si="52"/>
        <v>29469.888000000003</v>
      </c>
      <c r="AC309" s="5">
        <f t="shared" si="53"/>
        <v>-141</v>
      </c>
      <c r="AD309" t="str">
        <f t="shared" si="46"/>
        <v>North</v>
      </c>
      <c r="AE309" t="str">
        <f t="shared" si="54"/>
        <v>Invalid</v>
      </c>
      <c r="AF309" t="str">
        <f t="shared" si="47"/>
        <v>First Class</v>
      </c>
    </row>
    <row r="310" spans="1:32">
      <c r="A310" t="s">
        <v>4728</v>
      </c>
      <c r="B310" s="4">
        <v>45821</v>
      </c>
      <c r="C310" s="4">
        <v>45827</v>
      </c>
      <c r="D310" t="s">
        <v>4729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  <c r="V310" t="str">
        <f t="shared" si="48"/>
        <v>June</v>
      </c>
      <c r="W310" t="str">
        <f t="shared" si="49"/>
        <v>OK</v>
      </c>
      <c r="X310" t="str">
        <f t="shared" si="50"/>
        <v>OK</v>
      </c>
      <c r="Y310">
        <f t="shared" si="44"/>
        <v>0.2</v>
      </c>
      <c r="Z310">
        <f t="shared" si="45"/>
        <v>1</v>
      </c>
      <c r="AA310">
        <f t="shared" si="51"/>
        <v>775.53400000000033</v>
      </c>
      <c r="AB310">
        <f t="shared" si="52"/>
        <v>2341.0240000000003</v>
      </c>
      <c r="AC310">
        <f t="shared" si="53"/>
        <v>6</v>
      </c>
      <c r="AD310" t="str">
        <f t="shared" si="46"/>
        <v>North</v>
      </c>
      <c r="AE310" t="str">
        <f t="shared" si="54"/>
        <v>Clean</v>
      </c>
      <c r="AF310" t="str">
        <f t="shared" si="47"/>
        <v>First Class</v>
      </c>
    </row>
    <row r="311" spans="1:32">
      <c r="A311" t="s">
        <v>4730</v>
      </c>
      <c r="B311" s="4">
        <v>45493</v>
      </c>
      <c r="C311" s="4">
        <v>45495</v>
      </c>
      <c r="D311" t="s">
        <v>4731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  <c r="V311" t="str">
        <f t="shared" si="48"/>
        <v>July</v>
      </c>
      <c r="W311" t="str">
        <f t="shared" si="49"/>
        <v>OK</v>
      </c>
      <c r="X311" t="str">
        <f t="shared" si="50"/>
        <v>OK</v>
      </c>
      <c r="Y311">
        <f t="shared" si="44"/>
        <v>0.1</v>
      </c>
      <c r="Z311">
        <f t="shared" si="45"/>
        <v>1</v>
      </c>
      <c r="AA311">
        <f t="shared" si="51"/>
        <v>5736.2390000000005</v>
      </c>
      <c r="AB311">
        <f t="shared" si="52"/>
        <v>12982.599</v>
      </c>
      <c r="AC311">
        <f t="shared" si="53"/>
        <v>2</v>
      </c>
      <c r="AD311" t="str">
        <f t="shared" si="46"/>
        <v>South</v>
      </c>
      <c r="AE311" t="str">
        <f t="shared" si="54"/>
        <v>Clean</v>
      </c>
      <c r="AF311" t="str">
        <f t="shared" si="47"/>
        <v>First Class</v>
      </c>
    </row>
    <row r="312" spans="1:32">
      <c r="A312" t="s">
        <v>4732</v>
      </c>
      <c r="B312" s="4">
        <v>45477</v>
      </c>
      <c r="C312" s="4">
        <v>45481</v>
      </c>
      <c r="D312" t="s">
        <v>4733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  <c r="V312" t="str">
        <f t="shared" si="48"/>
        <v>July</v>
      </c>
      <c r="W312" t="str">
        <f t="shared" si="49"/>
        <v>OK</v>
      </c>
      <c r="X312" t="str">
        <f t="shared" si="50"/>
        <v>OK</v>
      </c>
      <c r="Y312">
        <f t="shared" si="44"/>
        <v>0</v>
      </c>
      <c r="Z312">
        <f t="shared" si="45"/>
        <v>1</v>
      </c>
      <c r="AA312">
        <f t="shared" si="51"/>
        <v>6849.75</v>
      </c>
      <c r="AB312">
        <f t="shared" si="52"/>
        <v>16274</v>
      </c>
      <c r="AC312">
        <f t="shared" si="53"/>
        <v>4</v>
      </c>
      <c r="AD312" t="str">
        <f t="shared" si="46"/>
        <v>South</v>
      </c>
      <c r="AE312" t="str">
        <f t="shared" si="54"/>
        <v>Clean</v>
      </c>
      <c r="AF312" t="str">
        <f t="shared" si="47"/>
        <v>First Class</v>
      </c>
    </row>
    <row r="313" spans="1:32">
      <c r="A313" t="s">
        <v>4734</v>
      </c>
      <c r="B313" s="4">
        <v>45409</v>
      </c>
      <c r="C313" s="4">
        <v>45414</v>
      </c>
      <c r="D313" t="s">
        <v>4735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  <c r="V313" t="str">
        <f t="shared" si="48"/>
        <v>May</v>
      </c>
      <c r="W313" t="str">
        <f t="shared" si="49"/>
        <v>OK</v>
      </c>
      <c r="X313" t="str">
        <f t="shared" si="50"/>
        <v>OK</v>
      </c>
      <c r="Y313">
        <f t="shared" si="44"/>
        <v>0.1</v>
      </c>
      <c r="Z313">
        <f t="shared" si="45"/>
        <v>1</v>
      </c>
      <c r="AA313">
        <f t="shared" si="51"/>
        <v>729.17999999999984</v>
      </c>
      <c r="AB313">
        <f t="shared" si="52"/>
        <v>2493.1799999999998</v>
      </c>
      <c r="AC313">
        <f t="shared" si="53"/>
        <v>5</v>
      </c>
      <c r="AD313" t="str">
        <f t="shared" si="46"/>
        <v>South</v>
      </c>
      <c r="AE313" t="str">
        <f t="shared" si="54"/>
        <v>Clean</v>
      </c>
      <c r="AF313" t="str">
        <f t="shared" si="47"/>
        <v>Second Class</v>
      </c>
    </row>
    <row r="314" spans="1:32">
      <c r="A314" t="s">
        <v>4736</v>
      </c>
      <c r="B314" s="4">
        <v>45504</v>
      </c>
      <c r="C314" s="4">
        <v>45508</v>
      </c>
      <c r="D314" t="s">
        <v>4737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  <c r="V314" t="str">
        <f t="shared" si="48"/>
        <v>August</v>
      </c>
      <c r="W314" t="str">
        <f t="shared" si="49"/>
        <v>OK</v>
      </c>
      <c r="X314" t="str">
        <f t="shared" si="50"/>
        <v>OK</v>
      </c>
      <c r="Y314">
        <f t="shared" si="44"/>
        <v>0</v>
      </c>
      <c r="Z314">
        <f t="shared" si="45"/>
        <v>1</v>
      </c>
      <c r="AA314">
        <f t="shared" si="51"/>
        <v>10870.589999999998</v>
      </c>
      <c r="AB314">
        <f t="shared" si="52"/>
        <v>20917.919999999998</v>
      </c>
      <c r="AC314">
        <f t="shared" si="53"/>
        <v>4</v>
      </c>
      <c r="AD314" t="str">
        <f t="shared" si="46"/>
        <v>East</v>
      </c>
      <c r="AE314" t="str">
        <f t="shared" si="54"/>
        <v>Clean</v>
      </c>
      <c r="AF314" t="str">
        <f t="shared" si="47"/>
        <v>Standard Class</v>
      </c>
    </row>
    <row r="315" spans="1:32">
      <c r="A315" t="s">
        <v>4738</v>
      </c>
      <c r="B315" s="4">
        <v>45807</v>
      </c>
      <c r="C315" s="4">
        <v>45808</v>
      </c>
      <c r="D315" t="s">
        <v>4739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  <c r="V315" t="str">
        <f t="shared" si="48"/>
        <v>May</v>
      </c>
      <c r="W315" t="str">
        <f t="shared" si="49"/>
        <v>OK</v>
      </c>
      <c r="X315" t="str">
        <f t="shared" si="50"/>
        <v>OK</v>
      </c>
      <c r="Y315">
        <f t="shared" si="44"/>
        <v>0.25</v>
      </c>
      <c r="Z315">
        <f t="shared" si="45"/>
        <v>1</v>
      </c>
      <c r="AA315">
        <f t="shared" si="51"/>
        <v>1771.1799999999985</v>
      </c>
      <c r="AB315">
        <f t="shared" si="52"/>
        <v>12488.579999999998</v>
      </c>
      <c r="AC315">
        <f t="shared" si="53"/>
        <v>1</v>
      </c>
      <c r="AD315" t="str">
        <f t="shared" si="46"/>
        <v>North</v>
      </c>
      <c r="AE315" t="str">
        <f t="shared" si="54"/>
        <v>Clean</v>
      </c>
      <c r="AF315" t="str">
        <f t="shared" si="47"/>
        <v>First Class</v>
      </c>
    </row>
    <row r="316" spans="1:32">
      <c r="A316" t="s">
        <v>4740</v>
      </c>
      <c r="B316" s="4">
        <v>45795</v>
      </c>
      <c r="C316" s="4">
        <v>45797</v>
      </c>
      <c r="D316" t="s">
        <v>4741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s="9" t="s">
        <v>125</v>
      </c>
      <c r="V316" t="str">
        <f t="shared" si="48"/>
        <v>May</v>
      </c>
      <c r="W316" t="str">
        <f t="shared" si="49"/>
        <v>OK</v>
      </c>
      <c r="X316" t="str">
        <f t="shared" si="50"/>
        <v>OK</v>
      </c>
      <c r="Y316">
        <f t="shared" si="44"/>
        <v>0.15</v>
      </c>
      <c r="Z316" s="5">
        <f t="shared" si="45"/>
        <v>2</v>
      </c>
      <c r="AA316">
        <f t="shared" si="51"/>
        <v>1109.1939999999995</v>
      </c>
      <c r="AB316">
        <f t="shared" si="52"/>
        <v>6485.3639999999996</v>
      </c>
      <c r="AC316">
        <f t="shared" si="53"/>
        <v>2</v>
      </c>
      <c r="AD316" t="str">
        <f t="shared" si="46"/>
        <v>West</v>
      </c>
      <c r="AE316" t="str">
        <f t="shared" si="54"/>
        <v>Clean</v>
      </c>
      <c r="AF316" t="str">
        <f t="shared" si="47"/>
        <v>Standard Class</v>
      </c>
    </row>
    <row r="317" spans="1:32">
      <c r="A317" t="s">
        <v>4742</v>
      </c>
      <c r="B317" s="4">
        <v>45329</v>
      </c>
      <c r="C317" s="4">
        <v>45481</v>
      </c>
      <c r="D317" t="s">
        <v>4743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  <c r="V317" t="str">
        <f t="shared" si="48"/>
        <v>July</v>
      </c>
      <c r="W317" t="str">
        <f t="shared" si="49"/>
        <v>OK</v>
      </c>
      <c r="X317" t="str">
        <f t="shared" si="50"/>
        <v>OK</v>
      </c>
      <c r="Y317">
        <f t="shared" si="44"/>
        <v>0.05</v>
      </c>
      <c r="Z317">
        <f t="shared" si="45"/>
        <v>1</v>
      </c>
      <c r="AA317">
        <f t="shared" si="51"/>
        <v>11511.240000000002</v>
      </c>
      <c r="AB317">
        <f t="shared" si="52"/>
        <v>29500.920000000002</v>
      </c>
      <c r="AC317">
        <f t="shared" si="53"/>
        <v>152</v>
      </c>
      <c r="AD317" t="str">
        <f t="shared" si="46"/>
        <v>North</v>
      </c>
      <c r="AE317" t="str">
        <f t="shared" si="54"/>
        <v>Clean</v>
      </c>
      <c r="AF317" t="str">
        <f t="shared" si="47"/>
        <v>Standard Class</v>
      </c>
    </row>
    <row r="318" spans="1:32">
      <c r="A318" t="s">
        <v>4744</v>
      </c>
      <c r="B318" s="4">
        <v>45338</v>
      </c>
      <c r="C318" s="4">
        <v>45340</v>
      </c>
      <c r="D318" t="s">
        <v>4745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  <c r="V318" t="str">
        <f t="shared" si="48"/>
        <v>February</v>
      </c>
      <c r="W318" t="str">
        <f t="shared" si="49"/>
        <v>OK</v>
      </c>
      <c r="X318" t="str">
        <f t="shared" si="50"/>
        <v>OK</v>
      </c>
      <c r="Y318">
        <f t="shared" si="44"/>
        <v>0.2</v>
      </c>
      <c r="Z318">
        <f t="shared" si="45"/>
        <v>1</v>
      </c>
      <c r="AA318">
        <f t="shared" si="51"/>
        <v>1159.4180000000001</v>
      </c>
      <c r="AB318">
        <f t="shared" si="52"/>
        <v>3116.0480000000002</v>
      </c>
      <c r="AC318">
        <f t="shared" si="53"/>
        <v>2</v>
      </c>
      <c r="AD318" t="str">
        <f t="shared" si="46"/>
        <v>North</v>
      </c>
      <c r="AE318" t="str">
        <f t="shared" si="54"/>
        <v>Clean</v>
      </c>
      <c r="AF318" t="str">
        <f t="shared" si="47"/>
        <v>Standard Class</v>
      </c>
    </row>
    <row r="319" spans="1:32">
      <c r="A319" t="s">
        <v>4746</v>
      </c>
      <c r="B319" s="4">
        <v>45898</v>
      </c>
      <c r="C319" s="4">
        <v>45904</v>
      </c>
      <c r="D319" t="s">
        <v>4747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  <c r="V319" t="str">
        <f t="shared" si="48"/>
        <v>September</v>
      </c>
      <c r="W319" t="str">
        <f t="shared" si="49"/>
        <v>OK</v>
      </c>
      <c r="X319" t="str">
        <f t="shared" si="50"/>
        <v>OK</v>
      </c>
      <c r="Y319">
        <f t="shared" si="44"/>
        <v>0.15</v>
      </c>
      <c r="Z319">
        <f t="shared" si="45"/>
        <v>1</v>
      </c>
      <c r="AA319">
        <f t="shared" si="51"/>
        <v>8305.2304999999978</v>
      </c>
      <c r="AB319">
        <f t="shared" si="52"/>
        <v>22926.820499999998</v>
      </c>
      <c r="AC319">
        <f t="shared" si="53"/>
        <v>6</v>
      </c>
      <c r="AD319" t="str">
        <f t="shared" si="46"/>
        <v>South</v>
      </c>
      <c r="AE319" t="str">
        <f t="shared" si="54"/>
        <v>Clean</v>
      </c>
      <c r="AF319" t="str">
        <f t="shared" si="47"/>
        <v>First Class</v>
      </c>
    </row>
    <row r="320" spans="1:32">
      <c r="A320" t="s">
        <v>4748</v>
      </c>
      <c r="B320" s="4">
        <v>45407</v>
      </c>
      <c r="C320" s="4">
        <v>45412</v>
      </c>
      <c r="D320" t="s">
        <v>4749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  <c r="V320" t="str">
        <f t="shared" si="48"/>
        <v>April</v>
      </c>
      <c r="W320" t="str">
        <f t="shared" si="49"/>
        <v>OK</v>
      </c>
      <c r="X320" t="str">
        <f t="shared" si="50"/>
        <v>OK</v>
      </c>
      <c r="Y320">
        <f t="shared" si="44"/>
        <v>0.1</v>
      </c>
      <c r="Z320">
        <f t="shared" si="45"/>
        <v>1</v>
      </c>
      <c r="AA320">
        <f t="shared" si="51"/>
        <v>2750.612000000001</v>
      </c>
      <c r="AB320">
        <f t="shared" si="52"/>
        <v>11203.542000000001</v>
      </c>
      <c r="AC320">
        <f t="shared" si="53"/>
        <v>5</v>
      </c>
      <c r="AD320" t="str">
        <f t="shared" si="46"/>
        <v>South</v>
      </c>
      <c r="AE320" t="str">
        <f t="shared" si="54"/>
        <v>Clean</v>
      </c>
      <c r="AF320" t="str">
        <f t="shared" si="47"/>
        <v>Standard Class</v>
      </c>
    </row>
    <row r="321" spans="1:32">
      <c r="A321" t="s">
        <v>4750</v>
      </c>
      <c r="B321" s="4">
        <v>45525</v>
      </c>
      <c r="C321" s="4">
        <v>45529</v>
      </c>
      <c r="D321" t="s">
        <v>4751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  <c r="V321" t="str">
        <f t="shared" si="48"/>
        <v>August</v>
      </c>
      <c r="W321" t="str">
        <f t="shared" si="49"/>
        <v>OK</v>
      </c>
      <c r="X321" t="str">
        <f t="shared" si="50"/>
        <v>OK</v>
      </c>
      <c r="Y321">
        <f t="shared" si="44"/>
        <v>0</v>
      </c>
      <c r="Z321">
        <f t="shared" si="45"/>
        <v>1</v>
      </c>
      <c r="AA321">
        <f t="shared" si="51"/>
        <v>113.93999999999997</v>
      </c>
      <c r="AB321">
        <f t="shared" si="52"/>
        <v>270.27999999999997</v>
      </c>
      <c r="AC321">
        <f t="shared" si="53"/>
        <v>4</v>
      </c>
      <c r="AD321" t="str">
        <f t="shared" si="46"/>
        <v>West</v>
      </c>
      <c r="AE321" t="str">
        <f t="shared" si="54"/>
        <v>Clean</v>
      </c>
      <c r="AF321" t="str">
        <f t="shared" si="47"/>
        <v>First Class</v>
      </c>
    </row>
    <row r="322" spans="1:32">
      <c r="A322" t="s">
        <v>4752</v>
      </c>
      <c r="B322" s="4">
        <v>45394</v>
      </c>
      <c r="C322" s="4">
        <v>45455</v>
      </c>
      <c r="D322" t="s">
        <v>4753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s="7">
        <v>7.0000000000000007E-2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  <c r="V322" t="str">
        <f t="shared" si="48"/>
        <v>June</v>
      </c>
      <c r="W322" t="str">
        <f t="shared" si="49"/>
        <v>OK</v>
      </c>
      <c r="X322" t="str">
        <f t="shared" si="50"/>
        <v>OK</v>
      </c>
      <c r="Y322">
        <f t="shared" ref="Y322:Y385" si="55">IF(P322 ="",0,P322)</f>
        <v>7.0000000000000007E-2</v>
      </c>
      <c r="Z322">
        <f t="shared" ref="Z322:Z385" si="56">COUNTIF(A:A,A322)</f>
        <v>1</v>
      </c>
      <c r="AA322">
        <f t="shared" si="51"/>
        <v>902.89059999999972</v>
      </c>
      <c r="AB322">
        <f t="shared" si="52"/>
        <v>2444.4305999999997</v>
      </c>
      <c r="AC322">
        <f t="shared" si="53"/>
        <v>61</v>
      </c>
      <c r="AD322" t="str">
        <f t="shared" ref="AD322:AD385" si="57">IF(G322="","Unknown",G322)</f>
        <v>East</v>
      </c>
      <c r="AE322" t="str">
        <f t="shared" si="54"/>
        <v>Clean</v>
      </c>
      <c r="AF322" t="str">
        <f t="shared" ref="AF322:AF385" si="58">IF(M322="","Unknown",M322)</f>
        <v>Second Class</v>
      </c>
    </row>
    <row r="323" spans="1:32">
      <c r="A323" t="s">
        <v>4754</v>
      </c>
      <c r="B323" s="4">
        <v>45466</v>
      </c>
      <c r="C323" s="4">
        <v>45473</v>
      </c>
      <c r="D323" t="s">
        <v>4755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  <c r="V323" t="str">
        <f t="shared" ref="V323:V386" si="59">TEXT(C323,"MMMM")</f>
        <v>June</v>
      </c>
      <c r="W323" t="str">
        <f t="shared" ref="W323:W386" si="60">IF(B323&lt;C323,"OK","Invalid")</f>
        <v>OK</v>
      </c>
      <c r="X323" t="str">
        <f t="shared" ref="X323:X386" si="61">IF(P323&lt;0,"Negative Discount","OK")</f>
        <v>OK</v>
      </c>
      <c r="Y323">
        <f t="shared" si="55"/>
        <v>0</v>
      </c>
      <c r="Z323">
        <f t="shared" si="56"/>
        <v>1</v>
      </c>
      <c r="AA323">
        <f t="shared" ref="AA323:AA386" si="62">AB323-R323</f>
        <v>939.52000000000021</v>
      </c>
      <c r="AB323">
        <f t="shared" ref="AB323:AB386" si="63">N323*O323*(1-Y323)</f>
        <v>2699.28</v>
      </c>
      <c r="AC323">
        <f t="shared" ref="AC323:AC386" si="64">C323-B323</f>
        <v>7</v>
      </c>
      <c r="AD323" t="str">
        <f t="shared" si="57"/>
        <v>West</v>
      </c>
      <c r="AE323" t="str">
        <f t="shared" ref="AE323:AE386" si="65">IF(OR(P323&lt;0,P323&gt;1,C323&lt;B323),"Invalid",IF(OR(G323="Unknown",M323="Unknown"),"Warning","Clean"))</f>
        <v>Clean</v>
      </c>
      <c r="AF323" t="str">
        <f t="shared" si="58"/>
        <v>Same Day</v>
      </c>
    </row>
    <row r="324" spans="1:32">
      <c r="A324" t="s">
        <v>4756</v>
      </c>
      <c r="B324" s="4">
        <v>45637</v>
      </c>
      <c r="C324" s="4">
        <v>45608</v>
      </c>
      <c r="D324" t="s">
        <v>4757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  <c r="V324" t="str">
        <f t="shared" si="59"/>
        <v>November</v>
      </c>
      <c r="W324" s="5" t="str">
        <f t="shared" si="60"/>
        <v>Invalid</v>
      </c>
      <c r="X324" t="str">
        <f t="shared" si="61"/>
        <v>OK</v>
      </c>
      <c r="Y324">
        <f t="shared" si="55"/>
        <v>0.15</v>
      </c>
      <c r="Z324">
        <f t="shared" si="56"/>
        <v>1</v>
      </c>
      <c r="AA324">
        <f t="shared" si="62"/>
        <v>2960.7180000000008</v>
      </c>
      <c r="AB324">
        <f t="shared" si="63"/>
        <v>6984.3480000000009</v>
      </c>
      <c r="AC324" s="5">
        <f t="shared" si="64"/>
        <v>-29</v>
      </c>
      <c r="AD324" t="str">
        <f t="shared" si="57"/>
        <v>North</v>
      </c>
      <c r="AE324" t="str">
        <f t="shared" si="65"/>
        <v>Invalid</v>
      </c>
      <c r="AF324" t="str">
        <f t="shared" si="58"/>
        <v>Second Class</v>
      </c>
    </row>
    <row r="325" spans="1:32">
      <c r="A325" t="s">
        <v>4758</v>
      </c>
      <c r="B325" s="4">
        <v>45347</v>
      </c>
      <c r="C325" s="4">
        <v>45351</v>
      </c>
      <c r="D325" t="s">
        <v>4759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  <c r="V325" t="str">
        <f t="shared" si="59"/>
        <v>February</v>
      </c>
      <c r="W325" t="str">
        <f t="shared" si="60"/>
        <v>OK</v>
      </c>
      <c r="X325" t="str">
        <f t="shared" si="61"/>
        <v>OK</v>
      </c>
      <c r="Y325">
        <f t="shared" si="55"/>
        <v>0.15</v>
      </c>
      <c r="Z325">
        <f t="shared" si="56"/>
        <v>1</v>
      </c>
      <c r="AA325">
        <f t="shared" si="62"/>
        <v>3706.3589999999995</v>
      </c>
      <c r="AB325">
        <f t="shared" si="63"/>
        <v>10185.669</v>
      </c>
      <c r="AC325">
        <f t="shared" si="64"/>
        <v>4</v>
      </c>
      <c r="AD325" t="str">
        <f t="shared" si="57"/>
        <v>West</v>
      </c>
      <c r="AE325" t="str">
        <f t="shared" si="65"/>
        <v>Clean</v>
      </c>
      <c r="AF325" t="str">
        <f t="shared" si="58"/>
        <v>Standard Class</v>
      </c>
    </row>
    <row r="326" spans="1:32">
      <c r="A326" t="s">
        <v>4760</v>
      </c>
      <c r="B326" s="4">
        <v>45869</v>
      </c>
      <c r="C326" s="4">
        <v>45871</v>
      </c>
      <c r="D326" t="s">
        <v>4761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  <c r="V326" t="str">
        <f t="shared" si="59"/>
        <v>August</v>
      </c>
      <c r="W326" t="str">
        <f t="shared" si="60"/>
        <v>OK</v>
      </c>
      <c r="X326" t="str">
        <f t="shared" si="61"/>
        <v>OK</v>
      </c>
      <c r="Y326">
        <f t="shared" si="55"/>
        <v>0.15</v>
      </c>
      <c r="Z326">
        <f t="shared" si="56"/>
        <v>1</v>
      </c>
      <c r="AA326">
        <f t="shared" si="62"/>
        <v>300.89800000000014</v>
      </c>
      <c r="AB326">
        <f t="shared" si="63"/>
        <v>1655.6980000000001</v>
      </c>
      <c r="AC326">
        <f t="shared" si="64"/>
        <v>2</v>
      </c>
      <c r="AD326" t="str">
        <f t="shared" si="57"/>
        <v>South</v>
      </c>
      <c r="AE326" t="str">
        <f t="shared" si="65"/>
        <v>Clean</v>
      </c>
      <c r="AF326" t="str">
        <f t="shared" si="58"/>
        <v>Same Day</v>
      </c>
    </row>
    <row r="327" spans="1:32">
      <c r="A327" t="s">
        <v>4762</v>
      </c>
      <c r="B327" s="4">
        <v>45916</v>
      </c>
      <c r="C327" s="4">
        <v>45922</v>
      </c>
      <c r="D327" t="s">
        <v>4763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  <c r="V327" t="str">
        <f t="shared" si="59"/>
        <v>September</v>
      </c>
      <c r="W327" t="str">
        <f t="shared" si="60"/>
        <v>OK</v>
      </c>
      <c r="X327" t="str">
        <f t="shared" si="61"/>
        <v>OK</v>
      </c>
      <c r="Y327">
        <f t="shared" si="55"/>
        <v>0.15</v>
      </c>
      <c r="Z327">
        <f t="shared" si="56"/>
        <v>1</v>
      </c>
      <c r="AA327">
        <f t="shared" si="62"/>
        <v>3694.08</v>
      </c>
      <c r="AB327">
        <f t="shared" si="63"/>
        <v>15602.6</v>
      </c>
      <c r="AC327">
        <f t="shared" si="64"/>
        <v>6</v>
      </c>
      <c r="AD327" t="str">
        <f t="shared" si="57"/>
        <v>East</v>
      </c>
      <c r="AE327" t="str">
        <f t="shared" si="65"/>
        <v>Clean</v>
      </c>
      <c r="AF327" t="str">
        <f t="shared" si="58"/>
        <v>Second Class</v>
      </c>
    </row>
    <row r="328" spans="1:32">
      <c r="A328" t="s">
        <v>4764</v>
      </c>
      <c r="B328" s="4">
        <v>45860</v>
      </c>
      <c r="C328" s="4">
        <v>45860</v>
      </c>
      <c r="D328" t="s">
        <v>4765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  <c r="V328" t="str">
        <f t="shared" si="59"/>
        <v>July</v>
      </c>
      <c r="W328" s="5" t="str">
        <f t="shared" si="60"/>
        <v>Invalid</v>
      </c>
      <c r="X328" t="str">
        <f t="shared" si="61"/>
        <v>OK</v>
      </c>
      <c r="Y328">
        <f t="shared" si="55"/>
        <v>0.05</v>
      </c>
      <c r="Z328">
        <f t="shared" si="56"/>
        <v>1</v>
      </c>
      <c r="AA328">
        <f t="shared" si="62"/>
        <v>3902.7674999999999</v>
      </c>
      <c r="AB328">
        <f t="shared" si="63"/>
        <v>15138.487499999999</v>
      </c>
      <c r="AC328">
        <f t="shared" si="64"/>
        <v>0</v>
      </c>
      <c r="AD328" t="str">
        <f t="shared" si="57"/>
        <v>East</v>
      </c>
      <c r="AE328" t="str">
        <f t="shared" si="65"/>
        <v>Clean</v>
      </c>
      <c r="AF328" t="str">
        <f t="shared" si="58"/>
        <v>Same Day</v>
      </c>
    </row>
    <row r="329" spans="1:32">
      <c r="A329" t="s">
        <v>4766</v>
      </c>
      <c r="B329" s="4">
        <v>45497</v>
      </c>
      <c r="C329" s="4">
        <v>45500</v>
      </c>
      <c r="D329" t="s">
        <v>4767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  <c r="V329" t="str">
        <f t="shared" si="59"/>
        <v>July</v>
      </c>
      <c r="W329" t="str">
        <f t="shared" si="60"/>
        <v>OK</v>
      </c>
      <c r="X329" t="str">
        <f t="shared" si="61"/>
        <v>OK</v>
      </c>
      <c r="Y329">
        <f t="shared" si="55"/>
        <v>0.2</v>
      </c>
      <c r="Z329">
        <f t="shared" si="56"/>
        <v>1</v>
      </c>
      <c r="AA329">
        <f t="shared" si="62"/>
        <v>1408.98</v>
      </c>
      <c r="AB329">
        <f t="shared" si="63"/>
        <v>4402.92</v>
      </c>
      <c r="AC329">
        <f t="shared" si="64"/>
        <v>3</v>
      </c>
      <c r="AD329" t="str">
        <f t="shared" si="57"/>
        <v>West</v>
      </c>
      <c r="AE329" t="str">
        <f t="shared" si="65"/>
        <v>Clean</v>
      </c>
      <c r="AF329" t="str">
        <f t="shared" si="58"/>
        <v>Second Class</v>
      </c>
    </row>
    <row r="330" spans="1:32">
      <c r="A330" t="s">
        <v>4768</v>
      </c>
      <c r="B330" s="4">
        <v>45806</v>
      </c>
      <c r="C330" s="4">
        <v>45812</v>
      </c>
      <c r="D330" t="s">
        <v>4769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  <c r="V330" t="str">
        <f t="shared" si="59"/>
        <v>June</v>
      </c>
      <c r="W330" t="str">
        <f t="shared" si="60"/>
        <v>OK</v>
      </c>
      <c r="X330" t="str">
        <f t="shared" si="61"/>
        <v>OK</v>
      </c>
      <c r="Y330">
        <f t="shared" si="55"/>
        <v>0</v>
      </c>
      <c r="Z330">
        <f t="shared" si="56"/>
        <v>1</v>
      </c>
      <c r="AA330">
        <f t="shared" si="62"/>
        <v>2769.7799999999988</v>
      </c>
      <c r="AB330">
        <f t="shared" si="63"/>
        <v>18604.079999999998</v>
      </c>
      <c r="AC330">
        <f t="shared" si="64"/>
        <v>6</v>
      </c>
      <c r="AD330" t="str">
        <f t="shared" si="57"/>
        <v>West</v>
      </c>
      <c r="AE330" t="str">
        <f t="shared" si="65"/>
        <v>Clean</v>
      </c>
      <c r="AF330" t="str">
        <f t="shared" si="58"/>
        <v>First Class</v>
      </c>
    </row>
    <row r="331" spans="1:32">
      <c r="A331" t="s">
        <v>4770</v>
      </c>
      <c r="B331" s="4">
        <v>45996</v>
      </c>
      <c r="C331" s="4">
        <v>45795</v>
      </c>
      <c r="D331" t="s">
        <v>4771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  <c r="V331" t="str">
        <f t="shared" si="59"/>
        <v>May</v>
      </c>
      <c r="W331" s="5" t="str">
        <f t="shared" si="60"/>
        <v>Invalid</v>
      </c>
      <c r="X331" t="str">
        <f t="shared" si="61"/>
        <v>OK</v>
      </c>
      <c r="Y331">
        <f t="shared" si="55"/>
        <v>0.05</v>
      </c>
      <c r="Z331">
        <f t="shared" si="56"/>
        <v>1</v>
      </c>
      <c r="AA331">
        <f t="shared" si="62"/>
        <v>6751.0939999999991</v>
      </c>
      <c r="AB331">
        <f t="shared" si="63"/>
        <v>15401.513999999999</v>
      </c>
      <c r="AC331" s="5">
        <f t="shared" si="64"/>
        <v>-201</v>
      </c>
      <c r="AD331" t="str">
        <f t="shared" si="57"/>
        <v>West</v>
      </c>
      <c r="AE331" t="str">
        <f t="shared" si="65"/>
        <v>Invalid</v>
      </c>
      <c r="AF331" t="str">
        <f t="shared" si="58"/>
        <v>Standard Class</v>
      </c>
    </row>
    <row r="332" spans="1:32">
      <c r="A332" t="s">
        <v>4772</v>
      </c>
      <c r="B332" s="4">
        <v>45428</v>
      </c>
      <c r="C332" s="4">
        <v>45436</v>
      </c>
      <c r="D332" t="s">
        <v>4773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  <c r="V332" t="str">
        <f t="shared" si="59"/>
        <v>May</v>
      </c>
      <c r="W332" t="str">
        <f t="shared" si="60"/>
        <v>OK</v>
      </c>
      <c r="X332" t="str">
        <f t="shared" si="61"/>
        <v>OK</v>
      </c>
      <c r="Y332">
        <f t="shared" si="55"/>
        <v>0</v>
      </c>
      <c r="Z332">
        <f t="shared" si="56"/>
        <v>1</v>
      </c>
      <c r="AA332">
        <f t="shared" si="62"/>
        <v>279.20000000000005</v>
      </c>
      <c r="AB332">
        <f t="shared" si="63"/>
        <v>783.09</v>
      </c>
      <c r="AC332">
        <f t="shared" si="64"/>
        <v>8</v>
      </c>
      <c r="AD332" t="str">
        <f t="shared" si="57"/>
        <v>North</v>
      </c>
      <c r="AE332" t="str">
        <f t="shared" si="65"/>
        <v>Clean</v>
      </c>
      <c r="AF332" t="str">
        <f t="shared" si="58"/>
        <v>Same Day</v>
      </c>
    </row>
    <row r="333" spans="1:32">
      <c r="A333" t="s">
        <v>4774</v>
      </c>
      <c r="B333" s="4">
        <v>45630</v>
      </c>
      <c r="C333" s="4">
        <v>45632</v>
      </c>
      <c r="D333" t="s">
        <v>4775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s="9" t="s">
        <v>125</v>
      </c>
      <c r="V333" t="str">
        <f t="shared" si="59"/>
        <v>December</v>
      </c>
      <c r="W333" t="str">
        <f t="shared" si="60"/>
        <v>OK</v>
      </c>
      <c r="X333" t="str">
        <f t="shared" si="61"/>
        <v>OK</v>
      </c>
      <c r="Y333">
        <f t="shared" si="55"/>
        <v>0</v>
      </c>
      <c r="Z333" s="5">
        <f t="shared" si="56"/>
        <v>2</v>
      </c>
      <c r="AA333">
        <f t="shared" si="62"/>
        <v>4265.2699999999995</v>
      </c>
      <c r="AB333">
        <f t="shared" si="63"/>
        <v>10742.64</v>
      </c>
      <c r="AC333">
        <f t="shared" si="64"/>
        <v>2</v>
      </c>
      <c r="AD333" t="str">
        <f t="shared" si="57"/>
        <v>East</v>
      </c>
      <c r="AE333" t="str">
        <f t="shared" si="65"/>
        <v>Clean</v>
      </c>
      <c r="AF333" t="str">
        <f t="shared" si="58"/>
        <v>Second Class</v>
      </c>
    </row>
    <row r="334" spans="1:32">
      <c r="A334" t="s">
        <v>4776</v>
      </c>
      <c r="B334" s="4">
        <v>45804</v>
      </c>
      <c r="C334" s="4">
        <v>45805</v>
      </c>
      <c r="D334" t="s">
        <v>4777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382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  <c r="V334" t="str">
        <f t="shared" si="59"/>
        <v>May</v>
      </c>
      <c r="W334" t="str">
        <f t="shared" si="60"/>
        <v>OK</v>
      </c>
      <c r="X334" t="str">
        <f t="shared" si="61"/>
        <v>OK</v>
      </c>
      <c r="Y334">
        <f t="shared" si="55"/>
        <v>0</v>
      </c>
      <c r="Z334">
        <f t="shared" si="56"/>
        <v>1</v>
      </c>
      <c r="AA334">
        <f t="shared" si="62"/>
        <v>1789.29</v>
      </c>
      <c r="AB334">
        <f t="shared" si="63"/>
        <v>7823.92</v>
      </c>
      <c r="AC334">
        <f t="shared" si="64"/>
        <v>1</v>
      </c>
      <c r="AD334" t="str">
        <f t="shared" si="57"/>
        <v>South</v>
      </c>
      <c r="AE334" t="str">
        <f t="shared" si="65"/>
        <v>Clean</v>
      </c>
      <c r="AF334" t="str">
        <f t="shared" si="58"/>
        <v>Second Class</v>
      </c>
    </row>
    <row r="335" spans="1:32">
      <c r="A335" t="s">
        <v>4778</v>
      </c>
      <c r="B335" s="4">
        <v>45830</v>
      </c>
      <c r="C335" s="4">
        <v>45835</v>
      </c>
      <c r="D335" t="s">
        <v>4779</v>
      </c>
      <c r="E335" t="s">
        <v>180</v>
      </c>
      <c r="F335" t="s">
        <v>115</v>
      </c>
      <c r="G335" t="s">
        <v>4187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  <c r="V335" t="str">
        <f t="shared" si="59"/>
        <v>June</v>
      </c>
      <c r="W335" t="str">
        <f t="shared" si="60"/>
        <v>OK</v>
      </c>
      <c r="X335" t="str">
        <f t="shared" si="61"/>
        <v>OK</v>
      </c>
      <c r="Y335">
        <f t="shared" si="55"/>
        <v>0</v>
      </c>
      <c r="Z335">
        <f t="shared" si="56"/>
        <v>1</v>
      </c>
      <c r="AA335">
        <f t="shared" si="62"/>
        <v>1013</v>
      </c>
      <c r="AB335">
        <f t="shared" si="63"/>
        <v>2936.1</v>
      </c>
      <c r="AC335">
        <f t="shared" si="64"/>
        <v>5</v>
      </c>
      <c r="AD335" s="5" t="str">
        <f t="shared" si="57"/>
        <v>Unknown</v>
      </c>
      <c r="AE335" t="str">
        <f t="shared" si="65"/>
        <v>Clean</v>
      </c>
      <c r="AF335" t="str">
        <f t="shared" si="58"/>
        <v>First Class</v>
      </c>
    </row>
    <row r="336" spans="1:32">
      <c r="A336" t="s">
        <v>4780</v>
      </c>
      <c r="B336" s="4">
        <v>45635</v>
      </c>
      <c r="C336" s="4">
        <v>45552</v>
      </c>
      <c r="D336" t="s">
        <v>4781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  <c r="V336" t="str">
        <f t="shared" si="59"/>
        <v>September</v>
      </c>
      <c r="W336" s="5" t="str">
        <f t="shared" si="60"/>
        <v>Invalid</v>
      </c>
      <c r="X336" t="str">
        <f t="shared" si="61"/>
        <v>OK</v>
      </c>
      <c r="Y336">
        <f t="shared" si="55"/>
        <v>0.25</v>
      </c>
      <c r="Z336">
        <f t="shared" si="56"/>
        <v>1</v>
      </c>
      <c r="AA336">
        <f t="shared" si="62"/>
        <v>3571.4625000000015</v>
      </c>
      <c r="AB336">
        <f t="shared" si="63"/>
        <v>12969.922500000001</v>
      </c>
      <c r="AC336" s="5">
        <f t="shared" si="64"/>
        <v>-83</v>
      </c>
      <c r="AD336" t="str">
        <f t="shared" si="57"/>
        <v>East</v>
      </c>
      <c r="AE336" t="str">
        <f t="shared" si="65"/>
        <v>Invalid</v>
      </c>
      <c r="AF336" t="str">
        <f t="shared" si="58"/>
        <v>First Class</v>
      </c>
    </row>
    <row r="337" spans="1:32">
      <c r="A337" t="s">
        <v>4782</v>
      </c>
      <c r="B337" s="4">
        <v>45824</v>
      </c>
      <c r="C337" s="4">
        <v>45826</v>
      </c>
      <c r="D337" t="s">
        <v>4783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s="6" t="s">
        <v>35</v>
      </c>
      <c r="V337" t="str">
        <f t="shared" si="59"/>
        <v>June</v>
      </c>
      <c r="W337" t="str">
        <f t="shared" si="60"/>
        <v>OK</v>
      </c>
      <c r="X337" t="str">
        <f t="shared" si="61"/>
        <v>OK</v>
      </c>
      <c r="Y337">
        <f t="shared" si="55"/>
        <v>0.1</v>
      </c>
      <c r="Z337" s="5">
        <f t="shared" si="56"/>
        <v>2</v>
      </c>
      <c r="AA337">
        <f t="shared" si="62"/>
        <v>4751.8690000000006</v>
      </c>
      <c r="AB337">
        <f t="shared" si="63"/>
        <v>11581.299000000001</v>
      </c>
      <c r="AC337">
        <f t="shared" si="64"/>
        <v>2</v>
      </c>
      <c r="AD337" t="str">
        <f t="shared" si="57"/>
        <v>West</v>
      </c>
      <c r="AE337" t="str">
        <f t="shared" si="65"/>
        <v>Clean</v>
      </c>
      <c r="AF337" t="str">
        <f t="shared" si="58"/>
        <v>First Class</v>
      </c>
    </row>
    <row r="338" spans="1:32">
      <c r="A338" t="s">
        <v>4784</v>
      </c>
      <c r="B338" s="4">
        <v>45368</v>
      </c>
      <c r="C338" s="4">
        <v>45372</v>
      </c>
      <c r="D338" t="s">
        <v>4619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  <c r="V338" t="str">
        <f t="shared" si="59"/>
        <v>March</v>
      </c>
      <c r="W338" t="str">
        <f t="shared" si="60"/>
        <v>OK</v>
      </c>
      <c r="X338" t="str">
        <f t="shared" si="61"/>
        <v>OK</v>
      </c>
      <c r="Y338">
        <f t="shared" si="55"/>
        <v>0</v>
      </c>
      <c r="Z338">
        <f t="shared" si="56"/>
        <v>1</v>
      </c>
      <c r="AA338">
        <f t="shared" si="62"/>
        <v>3593.41</v>
      </c>
      <c r="AB338">
        <f t="shared" si="63"/>
        <v>15940.56</v>
      </c>
      <c r="AC338">
        <f t="shared" si="64"/>
        <v>4</v>
      </c>
      <c r="AD338" t="str">
        <f t="shared" si="57"/>
        <v>North</v>
      </c>
      <c r="AE338" t="str">
        <f t="shared" si="65"/>
        <v>Clean</v>
      </c>
      <c r="AF338" t="str">
        <f t="shared" si="58"/>
        <v>First Class</v>
      </c>
    </row>
    <row r="339" spans="1:32">
      <c r="A339" t="s">
        <v>4785</v>
      </c>
      <c r="B339" s="4">
        <v>45634</v>
      </c>
      <c r="C339" s="4">
        <v>45522</v>
      </c>
      <c r="D339" t="s">
        <v>4786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  <c r="V339" t="str">
        <f t="shared" si="59"/>
        <v>August</v>
      </c>
      <c r="W339" s="5" t="str">
        <f t="shared" si="60"/>
        <v>Invalid</v>
      </c>
      <c r="X339" t="str">
        <f t="shared" si="61"/>
        <v>OK</v>
      </c>
      <c r="Y339">
        <f t="shared" si="55"/>
        <v>0</v>
      </c>
      <c r="Z339">
        <f t="shared" si="56"/>
        <v>1</v>
      </c>
      <c r="AA339">
        <f t="shared" si="62"/>
        <v>1418.17</v>
      </c>
      <c r="AB339">
        <f t="shared" si="63"/>
        <v>7090.4400000000005</v>
      </c>
      <c r="AC339" s="5">
        <f t="shared" si="64"/>
        <v>-112</v>
      </c>
      <c r="AD339" t="str">
        <f t="shared" si="57"/>
        <v>East</v>
      </c>
      <c r="AE339" t="str">
        <f t="shared" si="65"/>
        <v>Invalid</v>
      </c>
      <c r="AF339" t="str">
        <f t="shared" si="58"/>
        <v>Same Day</v>
      </c>
    </row>
    <row r="340" spans="1:32">
      <c r="A340" t="s">
        <v>4787</v>
      </c>
      <c r="B340" s="4">
        <v>45634</v>
      </c>
      <c r="C340" s="4">
        <v>45516</v>
      </c>
      <c r="D340" t="s">
        <v>4788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  <c r="V340" t="str">
        <f t="shared" si="59"/>
        <v>August</v>
      </c>
      <c r="W340" s="5" t="str">
        <f t="shared" si="60"/>
        <v>Invalid</v>
      </c>
      <c r="X340" t="str">
        <f t="shared" si="61"/>
        <v>OK</v>
      </c>
      <c r="Y340">
        <f t="shared" si="55"/>
        <v>0.25</v>
      </c>
      <c r="Z340">
        <f t="shared" si="56"/>
        <v>1</v>
      </c>
      <c r="AA340">
        <f t="shared" si="62"/>
        <v>4591.6299999999974</v>
      </c>
      <c r="AB340">
        <f t="shared" si="63"/>
        <v>26414.159999999996</v>
      </c>
      <c r="AC340" s="5">
        <f t="shared" si="64"/>
        <v>-118</v>
      </c>
      <c r="AD340" t="str">
        <f t="shared" si="57"/>
        <v>South</v>
      </c>
      <c r="AE340" t="str">
        <f t="shared" si="65"/>
        <v>Invalid</v>
      </c>
      <c r="AF340" t="str">
        <f t="shared" si="58"/>
        <v>First Class</v>
      </c>
    </row>
    <row r="341" spans="1:32">
      <c r="A341" t="s">
        <v>4789</v>
      </c>
      <c r="B341" s="4">
        <v>45708</v>
      </c>
      <c r="C341" s="4">
        <v>45710</v>
      </c>
      <c r="D341" t="s">
        <v>4790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  <c r="V341" t="str">
        <f t="shared" si="59"/>
        <v>February</v>
      </c>
      <c r="W341" t="str">
        <f t="shared" si="60"/>
        <v>OK</v>
      </c>
      <c r="X341" t="str">
        <f t="shared" si="61"/>
        <v>OK</v>
      </c>
      <c r="Y341">
        <f t="shared" si="55"/>
        <v>0.2</v>
      </c>
      <c r="Z341">
        <f t="shared" si="56"/>
        <v>1</v>
      </c>
      <c r="AA341">
        <f t="shared" si="62"/>
        <v>8387.724000000002</v>
      </c>
      <c r="AB341">
        <f t="shared" si="63"/>
        <v>20900.864000000001</v>
      </c>
      <c r="AC341">
        <f t="shared" si="64"/>
        <v>2</v>
      </c>
      <c r="AD341" t="str">
        <f t="shared" si="57"/>
        <v>East</v>
      </c>
      <c r="AE341" t="str">
        <f t="shared" si="65"/>
        <v>Clean</v>
      </c>
      <c r="AF341" t="str">
        <f t="shared" si="58"/>
        <v>Standard Class</v>
      </c>
    </row>
    <row r="342" spans="1:32">
      <c r="A342" t="s">
        <v>4791</v>
      </c>
      <c r="B342" s="4">
        <v>45312</v>
      </c>
      <c r="C342" s="4">
        <v>45320</v>
      </c>
      <c r="D342" t="s">
        <v>4792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  <c r="V342" t="str">
        <f t="shared" si="59"/>
        <v>January</v>
      </c>
      <c r="W342" t="str">
        <f t="shared" si="60"/>
        <v>OK</v>
      </c>
      <c r="X342" t="str">
        <f t="shared" si="61"/>
        <v>OK</v>
      </c>
      <c r="Y342">
        <f t="shared" si="55"/>
        <v>0.1</v>
      </c>
      <c r="Z342">
        <f t="shared" si="56"/>
        <v>1</v>
      </c>
      <c r="AA342">
        <f t="shared" si="62"/>
        <v>6861.42</v>
      </c>
      <c r="AB342">
        <f t="shared" si="63"/>
        <v>18261.36</v>
      </c>
      <c r="AC342">
        <f t="shared" si="64"/>
        <v>8</v>
      </c>
      <c r="AD342" t="str">
        <f t="shared" si="57"/>
        <v>South</v>
      </c>
      <c r="AE342" t="str">
        <f t="shared" si="65"/>
        <v>Clean</v>
      </c>
      <c r="AF342" t="str">
        <f t="shared" si="58"/>
        <v>Standard Class</v>
      </c>
    </row>
    <row r="343" spans="1:32">
      <c r="A343" t="s">
        <v>4793</v>
      </c>
      <c r="B343" s="4">
        <v>45878</v>
      </c>
      <c r="C343" s="4">
        <v>45909</v>
      </c>
      <c r="D343" t="s">
        <v>4794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  <c r="V343" t="str">
        <f t="shared" si="59"/>
        <v>September</v>
      </c>
      <c r="W343" t="str">
        <f t="shared" si="60"/>
        <v>OK</v>
      </c>
      <c r="X343" t="str">
        <f t="shared" si="61"/>
        <v>OK</v>
      </c>
      <c r="Y343">
        <f t="shared" si="55"/>
        <v>0.05</v>
      </c>
      <c r="Z343">
        <f t="shared" si="56"/>
        <v>1</v>
      </c>
      <c r="AA343">
        <f t="shared" si="62"/>
        <v>1295.0269999999991</v>
      </c>
      <c r="AB343">
        <f t="shared" si="63"/>
        <v>7524.6269999999995</v>
      </c>
      <c r="AC343">
        <f t="shared" si="64"/>
        <v>31</v>
      </c>
      <c r="AD343" t="str">
        <f t="shared" si="57"/>
        <v>West</v>
      </c>
      <c r="AE343" t="str">
        <f t="shared" si="65"/>
        <v>Clean</v>
      </c>
      <c r="AF343" t="str">
        <f t="shared" si="58"/>
        <v>Second Class</v>
      </c>
    </row>
    <row r="344" spans="1:32">
      <c r="A344" t="s">
        <v>4795</v>
      </c>
      <c r="B344" s="4">
        <v>45862</v>
      </c>
      <c r="C344" s="4">
        <v>45870</v>
      </c>
      <c r="D344" t="s">
        <v>4796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  <c r="V344" t="str">
        <f t="shared" si="59"/>
        <v>August</v>
      </c>
      <c r="W344" t="str">
        <f t="shared" si="60"/>
        <v>OK</v>
      </c>
      <c r="X344" t="str">
        <f t="shared" si="61"/>
        <v>OK</v>
      </c>
      <c r="Y344">
        <f t="shared" si="55"/>
        <v>0</v>
      </c>
      <c r="Z344">
        <f t="shared" si="56"/>
        <v>1</v>
      </c>
      <c r="AA344">
        <f t="shared" si="62"/>
        <v>3464.4600000000009</v>
      </c>
      <c r="AB344">
        <f t="shared" si="63"/>
        <v>12231.36</v>
      </c>
      <c r="AC344">
        <f t="shared" si="64"/>
        <v>8</v>
      </c>
      <c r="AD344" t="str">
        <f t="shared" si="57"/>
        <v>East</v>
      </c>
      <c r="AE344" t="str">
        <f t="shared" si="65"/>
        <v>Clean</v>
      </c>
      <c r="AF344" t="str">
        <f t="shared" si="58"/>
        <v>First Class</v>
      </c>
    </row>
    <row r="345" spans="1:32">
      <c r="A345" t="s">
        <v>4797</v>
      </c>
      <c r="B345" s="4">
        <v>45726</v>
      </c>
      <c r="C345" s="4">
        <v>45938</v>
      </c>
      <c r="D345" t="s">
        <v>4798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  <c r="V345" t="str">
        <f t="shared" si="59"/>
        <v>October</v>
      </c>
      <c r="W345" t="str">
        <f t="shared" si="60"/>
        <v>OK</v>
      </c>
      <c r="X345" t="str">
        <f t="shared" si="61"/>
        <v>OK</v>
      </c>
      <c r="Y345">
        <f t="shared" si="55"/>
        <v>0.1</v>
      </c>
      <c r="Z345">
        <f t="shared" si="56"/>
        <v>1</v>
      </c>
      <c r="AA345">
        <f t="shared" si="62"/>
        <v>13321.45</v>
      </c>
      <c r="AB345">
        <f t="shared" si="63"/>
        <v>31079.7</v>
      </c>
      <c r="AC345">
        <f t="shared" si="64"/>
        <v>212</v>
      </c>
      <c r="AD345" t="str">
        <f t="shared" si="57"/>
        <v>West</v>
      </c>
      <c r="AE345" t="str">
        <f t="shared" si="65"/>
        <v>Clean</v>
      </c>
      <c r="AF345" t="str">
        <f t="shared" si="58"/>
        <v>Same Day</v>
      </c>
    </row>
    <row r="346" spans="1:32">
      <c r="A346" t="s">
        <v>4799</v>
      </c>
      <c r="B346" s="4">
        <v>45362</v>
      </c>
      <c r="C346" s="4">
        <v>45362</v>
      </c>
      <c r="D346" t="s">
        <v>4800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  <c r="V346" t="str">
        <f t="shared" si="59"/>
        <v>March</v>
      </c>
      <c r="W346" s="5" t="str">
        <f t="shared" si="60"/>
        <v>Invalid</v>
      </c>
      <c r="X346" t="str">
        <f t="shared" si="61"/>
        <v>OK</v>
      </c>
      <c r="Y346">
        <f t="shared" si="55"/>
        <v>0</v>
      </c>
      <c r="Z346">
        <f t="shared" si="56"/>
        <v>1</v>
      </c>
      <c r="AA346">
        <f t="shared" si="62"/>
        <v>10960.760000000002</v>
      </c>
      <c r="AB346">
        <f t="shared" si="63"/>
        <v>31107.420000000002</v>
      </c>
      <c r="AC346">
        <f t="shared" si="64"/>
        <v>0</v>
      </c>
      <c r="AD346" t="str">
        <f t="shared" si="57"/>
        <v>North</v>
      </c>
      <c r="AE346" t="str">
        <f t="shared" si="65"/>
        <v>Clean</v>
      </c>
      <c r="AF346" t="str">
        <f t="shared" si="58"/>
        <v>Same Day</v>
      </c>
    </row>
    <row r="347" spans="1:32">
      <c r="A347" t="s">
        <v>4801</v>
      </c>
      <c r="B347" s="4">
        <v>45549</v>
      </c>
      <c r="C347" s="4">
        <v>45557</v>
      </c>
      <c r="D347" t="s">
        <v>4802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  <c r="V347" t="str">
        <f t="shared" si="59"/>
        <v>September</v>
      </c>
      <c r="W347" t="str">
        <f t="shared" si="60"/>
        <v>OK</v>
      </c>
      <c r="X347" t="str">
        <f t="shared" si="61"/>
        <v>OK</v>
      </c>
      <c r="Y347">
        <f t="shared" si="55"/>
        <v>0</v>
      </c>
      <c r="Z347">
        <f t="shared" si="56"/>
        <v>1</v>
      </c>
      <c r="AA347">
        <f t="shared" si="62"/>
        <v>1077.4900000000007</v>
      </c>
      <c r="AB347">
        <f t="shared" si="63"/>
        <v>5530.6</v>
      </c>
      <c r="AC347">
        <f t="shared" si="64"/>
        <v>8</v>
      </c>
      <c r="AD347" t="str">
        <f t="shared" si="57"/>
        <v>West</v>
      </c>
      <c r="AE347" t="str">
        <f t="shared" si="65"/>
        <v>Clean</v>
      </c>
      <c r="AF347" t="str">
        <f t="shared" si="58"/>
        <v>Second Class</v>
      </c>
    </row>
    <row r="348" spans="1:32">
      <c r="A348" t="s">
        <v>4803</v>
      </c>
      <c r="B348" s="4">
        <v>45860</v>
      </c>
      <c r="C348" s="4">
        <v>45866</v>
      </c>
      <c r="D348" t="s">
        <v>4804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  <c r="V348" t="str">
        <f t="shared" si="59"/>
        <v>July</v>
      </c>
      <c r="W348" t="str">
        <f t="shared" si="60"/>
        <v>OK</v>
      </c>
      <c r="X348" t="str">
        <f t="shared" si="61"/>
        <v>OK</v>
      </c>
      <c r="Y348">
        <f t="shared" si="55"/>
        <v>0.2</v>
      </c>
      <c r="Z348">
        <f t="shared" si="56"/>
        <v>1</v>
      </c>
      <c r="AA348">
        <f t="shared" si="62"/>
        <v>3457.3880000000008</v>
      </c>
      <c r="AB348">
        <f t="shared" si="63"/>
        <v>7715.8080000000009</v>
      </c>
      <c r="AC348">
        <f t="shared" si="64"/>
        <v>6</v>
      </c>
      <c r="AD348" t="str">
        <f t="shared" si="57"/>
        <v>South</v>
      </c>
      <c r="AE348" t="str">
        <f t="shared" si="65"/>
        <v>Clean</v>
      </c>
      <c r="AF348" t="str">
        <f t="shared" si="58"/>
        <v>Second Class</v>
      </c>
    </row>
    <row r="349" spans="1:32">
      <c r="A349" t="s">
        <v>4805</v>
      </c>
      <c r="B349" s="4">
        <v>45627</v>
      </c>
      <c r="C349" s="4">
        <v>45516</v>
      </c>
      <c r="D349" t="s">
        <v>4806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  <c r="V349" t="str">
        <f t="shared" si="59"/>
        <v>August</v>
      </c>
      <c r="W349" s="5" t="str">
        <f t="shared" si="60"/>
        <v>Invalid</v>
      </c>
      <c r="X349" t="str">
        <f t="shared" si="61"/>
        <v>OK</v>
      </c>
      <c r="Y349">
        <f t="shared" si="55"/>
        <v>0.2</v>
      </c>
      <c r="Z349">
        <f t="shared" si="56"/>
        <v>1</v>
      </c>
      <c r="AA349">
        <f t="shared" si="62"/>
        <v>1822.4499999999989</v>
      </c>
      <c r="AB349">
        <f t="shared" si="63"/>
        <v>11925.96</v>
      </c>
      <c r="AC349" s="5">
        <f t="shared" si="64"/>
        <v>-111</v>
      </c>
      <c r="AD349" t="str">
        <f t="shared" si="57"/>
        <v>West</v>
      </c>
      <c r="AE349" t="str">
        <f t="shared" si="65"/>
        <v>Invalid</v>
      </c>
      <c r="AF349" t="str">
        <f t="shared" si="58"/>
        <v>Second Class</v>
      </c>
    </row>
    <row r="350" spans="1:32">
      <c r="A350" t="s">
        <v>4807</v>
      </c>
      <c r="B350" s="4">
        <v>45328</v>
      </c>
      <c r="C350" s="4">
        <v>45479</v>
      </c>
      <c r="D350" t="s">
        <v>4808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  <c r="V350" t="str">
        <f t="shared" si="59"/>
        <v>July</v>
      </c>
      <c r="W350" t="str">
        <f t="shared" si="60"/>
        <v>OK</v>
      </c>
      <c r="X350" t="str">
        <f t="shared" si="61"/>
        <v>OK</v>
      </c>
      <c r="Y350">
        <f t="shared" si="55"/>
        <v>0.25</v>
      </c>
      <c r="Z350">
        <f t="shared" si="56"/>
        <v>1</v>
      </c>
      <c r="AA350">
        <f t="shared" si="62"/>
        <v>4864.3750000000055</v>
      </c>
      <c r="AB350">
        <f t="shared" si="63"/>
        <v>19306.755000000005</v>
      </c>
      <c r="AC350">
        <f t="shared" si="64"/>
        <v>151</v>
      </c>
      <c r="AD350" t="str">
        <f t="shared" si="57"/>
        <v>South</v>
      </c>
      <c r="AE350" t="str">
        <f t="shared" si="65"/>
        <v>Clean</v>
      </c>
      <c r="AF350" t="str">
        <f t="shared" si="58"/>
        <v>Same Day</v>
      </c>
    </row>
    <row r="351" spans="1:32">
      <c r="A351" t="s">
        <v>4809</v>
      </c>
      <c r="B351" s="4">
        <v>45927</v>
      </c>
      <c r="C351" s="4">
        <v>45929</v>
      </c>
      <c r="D351" t="s">
        <v>4810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  <c r="V351" t="str">
        <f t="shared" si="59"/>
        <v>September</v>
      </c>
      <c r="W351" t="str">
        <f t="shared" si="60"/>
        <v>OK</v>
      </c>
      <c r="X351" t="str">
        <f t="shared" si="61"/>
        <v>OK</v>
      </c>
      <c r="Y351">
        <f t="shared" si="55"/>
        <v>0.25</v>
      </c>
      <c r="Z351">
        <f t="shared" si="56"/>
        <v>1</v>
      </c>
      <c r="AA351">
        <f t="shared" si="62"/>
        <v>4343.5125000000007</v>
      </c>
      <c r="AB351">
        <f t="shared" si="63"/>
        <v>19355.962500000001</v>
      </c>
      <c r="AC351">
        <f t="shared" si="64"/>
        <v>2</v>
      </c>
      <c r="AD351" t="str">
        <f t="shared" si="57"/>
        <v>East</v>
      </c>
      <c r="AE351" t="str">
        <f t="shared" si="65"/>
        <v>Clean</v>
      </c>
      <c r="AF351" t="str">
        <f t="shared" si="58"/>
        <v>Second Class</v>
      </c>
    </row>
    <row r="352" spans="1:32">
      <c r="A352" t="s">
        <v>4811</v>
      </c>
      <c r="B352" s="4">
        <v>45298</v>
      </c>
      <c r="C352" s="4">
        <v>45305</v>
      </c>
      <c r="D352" t="s">
        <v>4812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  <c r="V352" t="str">
        <f t="shared" si="59"/>
        <v>January</v>
      </c>
      <c r="W352" t="str">
        <f t="shared" si="60"/>
        <v>OK</v>
      </c>
      <c r="X352" t="str">
        <f t="shared" si="61"/>
        <v>OK</v>
      </c>
      <c r="Y352">
        <f t="shared" si="55"/>
        <v>0.1</v>
      </c>
      <c r="Z352">
        <f t="shared" si="56"/>
        <v>1</v>
      </c>
      <c r="AA352">
        <f t="shared" si="62"/>
        <v>2143.1040000000012</v>
      </c>
      <c r="AB352">
        <f t="shared" si="63"/>
        <v>11914.344000000001</v>
      </c>
      <c r="AC352">
        <f t="shared" si="64"/>
        <v>7</v>
      </c>
      <c r="AD352" t="str">
        <f t="shared" si="57"/>
        <v>East</v>
      </c>
      <c r="AE352" t="str">
        <f t="shared" si="65"/>
        <v>Clean</v>
      </c>
      <c r="AF352" t="str">
        <f t="shared" si="58"/>
        <v>Second Class</v>
      </c>
    </row>
    <row r="353" spans="1:32">
      <c r="A353" t="s">
        <v>4813</v>
      </c>
      <c r="B353" s="4">
        <v>45800</v>
      </c>
      <c r="C353" s="4">
        <v>45804</v>
      </c>
      <c r="D353" t="s">
        <v>4814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  <c r="V353" t="str">
        <f t="shared" si="59"/>
        <v>May</v>
      </c>
      <c r="W353" t="str">
        <f t="shared" si="60"/>
        <v>OK</v>
      </c>
      <c r="X353" t="str">
        <f t="shared" si="61"/>
        <v>OK</v>
      </c>
      <c r="Y353">
        <f t="shared" si="55"/>
        <v>0.25</v>
      </c>
      <c r="Z353">
        <f t="shared" si="56"/>
        <v>1</v>
      </c>
      <c r="AA353">
        <f t="shared" si="62"/>
        <v>1119.1400000000003</v>
      </c>
      <c r="AB353">
        <f t="shared" si="63"/>
        <v>3237.4800000000005</v>
      </c>
      <c r="AC353">
        <f t="shared" si="64"/>
        <v>4</v>
      </c>
      <c r="AD353" t="str">
        <f t="shared" si="57"/>
        <v>South</v>
      </c>
      <c r="AE353" t="str">
        <f t="shared" si="65"/>
        <v>Clean</v>
      </c>
      <c r="AF353" t="str">
        <f t="shared" si="58"/>
        <v>First Class</v>
      </c>
    </row>
    <row r="354" spans="1:32">
      <c r="A354" t="s">
        <v>4815</v>
      </c>
      <c r="B354" s="4">
        <v>45884</v>
      </c>
      <c r="C354" s="4">
        <v>45886</v>
      </c>
      <c r="D354" t="s">
        <v>4816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  <c r="V354" t="str">
        <f t="shared" si="59"/>
        <v>August</v>
      </c>
      <c r="W354" t="str">
        <f t="shared" si="60"/>
        <v>OK</v>
      </c>
      <c r="X354" t="str">
        <f t="shared" si="61"/>
        <v>OK</v>
      </c>
      <c r="Y354">
        <f t="shared" si="55"/>
        <v>0.25</v>
      </c>
      <c r="Z354">
        <f t="shared" si="56"/>
        <v>1</v>
      </c>
      <c r="AA354">
        <f t="shared" si="62"/>
        <v>4259.0200000000004</v>
      </c>
      <c r="AB354">
        <f t="shared" si="63"/>
        <v>10734.75</v>
      </c>
      <c r="AC354">
        <f t="shared" si="64"/>
        <v>2</v>
      </c>
      <c r="AD354" t="str">
        <f t="shared" si="57"/>
        <v>East</v>
      </c>
      <c r="AE354" t="str">
        <f t="shared" si="65"/>
        <v>Clean</v>
      </c>
      <c r="AF354" t="str">
        <f t="shared" si="58"/>
        <v>First Class</v>
      </c>
    </row>
    <row r="355" spans="1:32">
      <c r="A355" t="s">
        <v>4817</v>
      </c>
      <c r="B355" s="4">
        <v>45709</v>
      </c>
      <c r="C355" s="4">
        <v>45715</v>
      </c>
      <c r="D355" t="s">
        <v>4818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  <c r="V355" t="str">
        <f t="shared" si="59"/>
        <v>February</v>
      </c>
      <c r="W355" t="str">
        <f t="shared" si="60"/>
        <v>OK</v>
      </c>
      <c r="X355" t="str">
        <f t="shared" si="61"/>
        <v>OK</v>
      </c>
      <c r="Y355">
        <f t="shared" si="55"/>
        <v>0.2</v>
      </c>
      <c r="Z355">
        <f t="shared" si="56"/>
        <v>1</v>
      </c>
      <c r="AA355">
        <f t="shared" si="62"/>
        <v>4485.7140000000009</v>
      </c>
      <c r="AB355">
        <f t="shared" si="63"/>
        <v>10308.024000000001</v>
      </c>
      <c r="AC355">
        <f t="shared" si="64"/>
        <v>6</v>
      </c>
      <c r="AD355" t="str">
        <f t="shared" si="57"/>
        <v>North</v>
      </c>
      <c r="AE355" t="str">
        <f t="shared" si="65"/>
        <v>Clean</v>
      </c>
      <c r="AF355" t="str">
        <f t="shared" si="58"/>
        <v>Same Day</v>
      </c>
    </row>
    <row r="356" spans="1:32">
      <c r="A356" t="s">
        <v>4819</v>
      </c>
      <c r="B356" s="4">
        <v>45653</v>
      </c>
      <c r="C356" s="4">
        <v>45657</v>
      </c>
      <c r="D356" t="s">
        <v>4820</v>
      </c>
      <c r="E356" t="s">
        <v>366</v>
      </c>
      <c r="F356" t="s">
        <v>108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  <c r="V356" t="str">
        <f t="shared" si="59"/>
        <v>December</v>
      </c>
      <c r="W356" t="str">
        <f t="shared" si="60"/>
        <v>OK</v>
      </c>
      <c r="X356" s="5" t="str">
        <f t="shared" si="61"/>
        <v>Negative Discount</v>
      </c>
      <c r="Y356">
        <f t="shared" si="55"/>
        <v>-0.06</v>
      </c>
      <c r="Z356">
        <f t="shared" si="56"/>
        <v>1</v>
      </c>
      <c r="AA356">
        <f t="shared" si="62"/>
        <v>8376.6808000000019</v>
      </c>
      <c r="AB356">
        <f t="shared" si="63"/>
        <v>21285.520800000002</v>
      </c>
      <c r="AC356">
        <f t="shared" si="64"/>
        <v>4</v>
      </c>
      <c r="AD356" t="str">
        <f t="shared" si="57"/>
        <v>North</v>
      </c>
      <c r="AE356" t="str">
        <f t="shared" si="65"/>
        <v>Invalid</v>
      </c>
      <c r="AF356" t="str">
        <f t="shared" si="58"/>
        <v>Standard Class</v>
      </c>
    </row>
    <row r="357" spans="1:32">
      <c r="A357" t="s">
        <v>4821</v>
      </c>
      <c r="B357" s="4">
        <v>45424</v>
      </c>
      <c r="C357" s="4">
        <v>45421</v>
      </c>
      <c r="D357" t="s">
        <v>4822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  <c r="V357" t="str">
        <f t="shared" si="59"/>
        <v>May</v>
      </c>
      <c r="W357" s="5" t="str">
        <f t="shared" si="60"/>
        <v>Invalid</v>
      </c>
      <c r="X357" t="str">
        <f t="shared" si="61"/>
        <v>OK</v>
      </c>
      <c r="Y357">
        <f t="shared" si="55"/>
        <v>0</v>
      </c>
      <c r="Z357">
        <f t="shared" si="56"/>
        <v>1</v>
      </c>
      <c r="AA357">
        <f t="shared" si="62"/>
        <v>6459.6</v>
      </c>
      <c r="AB357">
        <f t="shared" si="63"/>
        <v>16017.4</v>
      </c>
      <c r="AC357" s="5">
        <f t="shared" si="64"/>
        <v>-3</v>
      </c>
      <c r="AD357" t="str">
        <f t="shared" si="57"/>
        <v>West</v>
      </c>
      <c r="AE357" t="str">
        <f t="shared" si="65"/>
        <v>Invalid</v>
      </c>
      <c r="AF357" t="str">
        <f t="shared" si="58"/>
        <v>Standard Class</v>
      </c>
    </row>
    <row r="358" spans="1:32">
      <c r="A358" t="s">
        <v>4823</v>
      </c>
      <c r="B358" s="4">
        <v>45835</v>
      </c>
      <c r="C358" s="4">
        <v>45837</v>
      </c>
      <c r="D358" t="s">
        <v>4824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  <c r="V358" t="str">
        <f t="shared" si="59"/>
        <v>June</v>
      </c>
      <c r="W358" t="str">
        <f t="shared" si="60"/>
        <v>OK</v>
      </c>
      <c r="X358" t="str">
        <f t="shared" si="61"/>
        <v>OK</v>
      </c>
      <c r="Y358">
        <f t="shared" si="55"/>
        <v>0.2</v>
      </c>
      <c r="Z358">
        <f t="shared" si="56"/>
        <v>1</v>
      </c>
      <c r="AA358">
        <f t="shared" si="62"/>
        <v>355.07000000000016</v>
      </c>
      <c r="AB358">
        <f t="shared" si="63"/>
        <v>2486.8000000000002</v>
      </c>
      <c r="AC358">
        <f t="shared" si="64"/>
        <v>2</v>
      </c>
      <c r="AD358" t="str">
        <f t="shared" si="57"/>
        <v>South</v>
      </c>
      <c r="AE358" t="str">
        <f t="shared" si="65"/>
        <v>Clean</v>
      </c>
      <c r="AF358" t="str">
        <f t="shared" si="58"/>
        <v>First Class</v>
      </c>
    </row>
    <row r="359" spans="1:32">
      <c r="A359" t="s">
        <v>4825</v>
      </c>
      <c r="B359" s="4">
        <v>45678</v>
      </c>
      <c r="C359" s="4">
        <v>45686</v>
      </c>
      <c r="D359" t="s">
        <v>4826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  <c r="V359" t="str">
        <f t="shared" si="59"/>
        <v>January</v>
      </c>
      <c r="W359" t="str">
        <f t="shared" si="60"/>
        <v>OK</v>
      </c>
      <c r="X359" t="str">
        <f t="shared" si="61"/>
        <v>OK</v>
      </c>
      <c r="Y359">
        <f t="shared" si="55"/>
        <v>0</v>
      </c>
      <c r="Z359">
        <f t="shared" si="56"/>
        <v>1</v>
      </c>
      <c r="AA359">
        <f t="shared" si="62"/>
        <v>652.15999999999985</v>
      </c>
      <c r="AB359">
        <f t="shared" si="63"/>
        <v>4369.04</v>
      </c>
      <c r="AC359">
        <f t="shared" si="64"/>
        <v>8</v>
      </c>
      <c r="AD359" t="str">
        <f t="shared" si="57"/>
        <v>South</v>
      </c>
      <c r="AE359" t="str">
        <f t="shared" si="65"/>
        <v>Clean</v>
      </c>
      <c r="AF359" t="str">
        <f t="shared" si="58"/>
        <v>Second Class</v>
      </c>
    </row>
    <row r="360" spans="1:32">
      <c r="A360" t="s">
        <v>4827</v>
      </c>
      <c r="B360" s="4">
        <v>45908</v>
      </c>
      <c r="C360" s="4">
        <v>45876</v>
      </c>
      <c r="D360" t="s">
        <v>4828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  <c r="V360" t="str">
        <f t="shared" si="59"/>
        <v>August</v>
      </c>
      <c r="W360" s="5" t="str">
        <f t="shared" si="60"/>
        <v>Invalid</v>
      </c>
      <c r="X360" t="str">
        <f t="shared" si="61"/>
        <v>OK</v>
      </c>
      <c r="Y360">
        <f t="shared" si="55"/>
        <v>0.05</v>
      </c>
      <c r="Z360">
        <f t="shared" si="56"/>
        <v>1</v>
      </c>
      <c r="AA360">
        <f t="shared" si="62"/>
        <v>1576.9399999999996</v>
      </c>
      <c r="AB360">
        <f t="shared" si="63"/>
        <v>5956.12</v>
      </c>
      <c r="AC360" s="5">
        <f t="shared" si="64"/>
        <v>-32</v>
      </c>
      <c r="AD360" t="str">
        <f t="shared" si="57"/>
        <v>West</v>
      </c>
      <c r="AE360" t="str">
        <f t="shared" si="65"/>
        <v>Invalid</v>
      </c>
      <c r="AF360" t="str">
        <f t="shared" si="58"/>
        <v>Second Class</v>
      </c>
    </row>
    <row r="361" spans="1:32">
      <c r="A361" t="s">
        <v>4829</v>
      </c>
      <c r="B361" s="4">
        <v>45525</v>
      </c>
      <c r="C361" s="4">
        <v>45526</v>
      </c>
      <c r="D361" t="s">
        <v>4830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  <c r="V361" t="str">
        <f t="shared" si="59"/>
        <v>August</v>
      </c>
      <c r="W361" t="str">
        <f t="shared" si="60"/>
        <v>OK</v>
      </c>
      <c r="X361" t="str">
        <f t="shared" si="61"/>
        <v>OK</v>
      </c>
      <c r="Y361">
        <f t="shared" si="55"/>
        <v>0.1</v>
      </c>
      <c r="Z361">
        <f t="shared" si="56"/>
        <v>1</v>
      </c>
      <c r="AA361">
        <f t="shared" si="62"/>
        <v>2025.9860000000003</v>
      </c>
      <c r="AB361">
        <f t="shared" si="63"/>
        <v>4997.3760000000002</v>
      </c>
      <c r="AC361">
        <f t="shared" si="64"/>
        <v>1</v>
      </c>
      <c r="AD361" t="str">
        <f t="shared" si="57"/>
        <v>South</v>
      </c>
      <c r="AE361" t="str">
        <f t="shared" si="65"/>
        <v>Clean</v>
      </c>
      <c r="AF361" t="str">
        <f t="shared" si="58"/>
        <v>Same Day</v>
      </c>
    </row>
    <row r="362" spans="1:32">
      <c r="A362" t="s">
        <v>4831</v>
      </c>
      <c r="B362" s="4">
        <v>45460</v>
      </c>
      <c r="C362" s="4">
        <v>45463</v>
      </c>
      <c r="D362" t="s">
        <v>4832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  <c r="V362" t="str">
        <f t="shared" si="59"/>
        <v>June</v>
      </c>
      <c r="W362" t="str">
        <f t="shared" si="60"/>
        <v>OK</v>
      </c>
      <c r="X362" t="str">
        <f t="shared" si="61"/>
        <v>OK</v>
      </c>
      <c r="Y362">
        <f t="shared" si="55"/>
        <v>0.2</v>
      </c>
      <c r="Z362">
        <f t="shared" si="56"/>
        <v>1</v>
      </c>
      <c r="AA362">
        <f t="shared" si="62"/>
        <v>3950.630000000001</v>
      </c>
      <c r="AB362">
        <f t="shared" si="63"/>
        <v>17669.400000000001</v>
      </c>
      <c r="AC362">
        <f t="shared" si="64"/>
        <v>3</v>
      </c>
      <c r="AD362" t="str">
        <f t="shared" si="57"/>
        <v>West</v>
      </c>
      <c r="AE362" t="str">
        <f t="shared" si="65"/>
        <v>Clean</v>
      </c>
      <c r="AF362" t="str">
        <f t="shared" si="58"/>
        <v>Standard Class</v>
      </c>
    </row>
    <row r="363" spans="1:32">
      <c r="A363" t="s">
        <v>4833</v>
      </c>
      <c r="B363" s="4">
        <v>45748</v>
      </c>
      <c r="C363" s="4">
        <v>45749</v>
      </c>
      <c r="D363" t="s">
        <v>4834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  <c r="V363" t="str">
        <f t="shared" si="59"/>
        <v>April</v>
      </c>
      <c r="W363" t="str">
        <f t="shared" si="60"/>
        <v>OK</v>
      </c>
      <c r="X363" t="str">
        <f t="shared" si="61"/>
        <v>OK</v>
      </c>
      <c r="Y363">
        <f t="shared" si="55"/>
        <v>0.05</v>
      </c>
      <c r="Z363">
        <f t="shared" si="56"/>
        <v>1</v>
      </c>
      <c r="AA363">
        <f t="shared" si="62"/>
        <v>15225.999000000003</v>
      </c>
      <c r="AB363">
        <f t="shared" si="63"/>
        <v>35615.709000000003</v>
      </c>
      <c r="AC363">
        <f t="shared" si="64"/>
        <v>1</v>
      </c>
      <c r="AD363" t="str">
        <f t="shared" si="57"/>
        <v>East</v>
      </c>
      <c r="AE363" t="str">
        <f t="shared" si="65"/>
        <v>Clean</v>
      </c>
      <c r="AF363" t="str">
        <f t="shared" si="58"/>
        <v>Second Class</v>
      </c>
    </row>
    <row r="364" spans="1:32">
      <c r="A364" t="s">
        <v>4835</v>
      </c>
      <c r="B364" s="4">
        <v>45527</v>
      </c>
      <c r="C364" s="4">
        <v>45529</v>
      </c>
      <c r="D364" t="s">
        <v>4836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  <c r="V364" t="str">
        <f t="shared" si="59"/>
        <v>August</v>
      </c>
      <c r="W364" t="str">
        <f t="shared" si="60"/>
        <v>OK</v>
      </c>
      <c r="X364" t="str">
        <f t="shared" si="61"/>
        <v>OK</v>
      </c>
      <c r="Y364">
        <f t="shared" si="55"/>
        <v>0.05</v>
      </c>
      <c r="Z364">
        <f t="shared" si="56"/>
        <v>1</v>
      </c>
      <c r="AA364">
        <f t="shared" si="62"/>
        <v>289.91799999999989</v>
      </c>
      <c r="AB364">
        <f t="shared" si="63"/>
        <v>1866.4079999999999</v>
      </c>
      <c r="AC364">
        <f t="shared" si="64"/>
        <v>2</v>
      </c>
      <c r="AD364" t="str">
        <f t="shared" si="57"/>
        <v>West</v>
      </c>
      <c r="AE364" t="str">
        <f t="shared" si="65"/>
        <v>Clean</v>
      </c>
      <c r="AF364" t="str">
        <f t="shared" si="58"/>
        <v>Same Day</v>
      </c>
    </row>
    <row r="365" spans="1:32">
      <c r="A365" t="s">
        <v>4837</v>
      </c>
      <c r="B365" s="4">
        <v>45845</v>
      </c>
      <c r="C365" s="4">
        <v>45998</v>
      </c>
      <c r="D365" t="s">
        <v>4838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  <c r="V365" t="str">
        <f t="shared" si="59"/>
        <v>December</v>
      </c>
      <c r="W365" t="str">
        <f t="shared" si="60"/>
        <v>OK</v>
      </c>
      <c r="X365" t="str">
        <f t="shared" si="61"/>
        <v>OK</v>
      </c>
      <c r="Y365">
        <f t="shared" si="55"/>
        <v>0.25</v>
      </c>
      <c r="Z365">
        <f t="shared" si="56"/>
        <v>1</v>
      </c>
      <c r="AA365">
        <f t="shared" si="62"/>
        <v>1662.2774999999992</v>
      </c>
      <c r="AB365">
        <f t="shared" si="63"/>
        <v>6867.6374999999989</v>
      </c>
      <c r="AC365">
        <f t="shared" si="64"/>
        <v>153</v>
      </c>
      <c r="AD365" t="str">
        <f t="shared" si="57"/>
        <v>East</v>
      </c>
      <c r="AE365" t="str">
        <f t="shared" si="65"/>
        <v>Clean</v>
      </c>
      <c r="AF365" t="str">
        <f t="shared" si="58"/>
        <v>Second Class</v>
      </c>
    </row>
    <row r="366" spans="1:32">
      <c r="A366" t="s">
        <v>4839</v>
      </c>
      <c r="B366" s="4">
        <v>45737</v>
      </c>
      <c r="C366" s="4">
        <v>45740</v>
      </c>
      <c r="D366" t="s">
        <v>4840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  <c r="V366" t="str">
        <f t="shared" si="59"/>
        <v>March</v>
      </c>
      <c r="W366" t="str">
        <f t="shared" si="60"/>
        <v>OK</v>
      </c>
      <c r="X366" t="str">
        <f t="shared" si="61"/>
        <v>OK</v>
      </c>
      <c r="Y366">
        <f t="shared" si="55"/>
        <v>0</v>
      </c>
      <c r="Z366">
        <f t="shared" si="56"/>
        <v>1</v>
      </c>
      <c r="AA366">
        <f t="shared" si="62"/>
        <v>2228.73</v>
      </c>
      <c r="AB366">
        <f t="shared" si="63"/>
        <v>6195.75</v>
      </c>
      <c r="AC366">
        <f t="shared" si="64"/>
        <v>3</v>
      </c>
      <c r="AD366" t="str">
        <f t="shared" si="57"/>
        <v>South</v>
      </c>
      <c r="AE366" t="str">
        <f t="shared" si="65"/>
        <v>Clean</v>
      </c>
      <c r="AF366" t="str">
        <f t="shared" si="58"/>
        <v>Second Class</v>
      </c>
    </row>
    <row r="367" spans="1:32">
      <c r="A367" t="s">
        <v>4841</v>
      </c>
      <c r="B367" s="4">
        <v>45458</v>
      </c>
      <c r="C367" s="4">
        <v>45464</v>
      </c>
      <c r="D367" t="s">
        <v>4842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  <c r="V367" t="str">
        <f t="shared" si="59"/>
        <v>June</v>
      </c>
      <c r="W367" t="str">
        <f t="shared" si="60"/>
        <v>OK</v>
      </c>
      <c r="X367" t="str">
        <f t="shared" si="61"/>
        <v>OK</v>
      </c>
      <c r="Y367">
        <f t="shared" si="55"/>
        <v>0</v>
      </c>
      <c r="Z367">
        <f t="shared" si="56"/>
        <v>1</v>
      </c>
      <c r="AA367">
        <f t="shared" si="62"/>
        <v>3531.59</v>
      </c>
      <c r="AB367">
        <f t="shared" si="63"/>
        <v>13651.2</v>
      </c>
      <c r="AC367">
        <f t="shared" si="64"/>
        <v>6</v>
      </c>
      <c r="AD367" t="str">
        <f t="shared" si="57"/>
        <v>West</v>
      </c>
      <c r="AE367" t="str">
        <f t="shared" si="65"/>
        <v>Clean</v>
      </c>
      <c r="AF367" t="str">
        <f t="shared" si="58"/>
        <v>First Class</v>
      </c>
    </row>
    <row r="368" spans="1:32">
      <c r="A368" t="s">
        <v>4843</v>
      </c>
      <c r="B368" s="4">
        <v>45673</v>
      </c>
      <c r="C368" s="4">
        <v>45679</v>
      </c>
      <c r="D368" t="s">
        <v>4844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  <c r="V368" t="str">
        <f t="shared" si="59"/>
        <v>January</v>
      </c>
      <c r="W368" t="str">
        <f t="shared" si="60"/>
        <v>OK</v>
      </c>
      <c r="X368" t="str">
        <f t="shared" si="61"/>
        <v>OK</v>
      </c>
      <c r="Y368">
        <f t="shared" si="55"/>
        <v>0</v>
      </c>
      <c r="Z368">
        <f t="shared" si="56"/>
        <v>1</v>
      </c>
      <c r="AA368">
        <f t="shared" si="62"/>
        <v>2968.8099999999995</v>
      </c>
      <c r="AB368">
        <f t="shared" si="63"/>
        <v>8836.56</v>
      </c>
      <c r="AC368">
        <f t="shared" si="64"/>
        <v>6</v>
      </c>
      <c r="AD368" t="str">
        <f t="shared" si="57"/>
        <v>North</v>
      </c>
      <c r="AE368" t="str">
        <f t="shared" si="65"/>
        <v>Clean</v>
      </c>
      <c r="AF368" t="str">
        <f t="shared" si="58"/>
        <v>Same Day</v>
      </c>
    </row>
    <row r="369" spans="1:32">
      <c r="A369" t="s">
        <v>4845</v>
      </c>
      <c r="B369" s="4">
        <v>45366</v>
      </c>
      <c r="C369" s="4">
        <v>45367</v>
      </c>
      <c r="D369" t="s">
        <v>4846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  <c r="V369" t="str">
        <f t="shared" si="59"/>
        <v>March</v>
      </c>
      <c r="W369" t="str">
        <f t="shared" si="60"/>
        <v>OK</v>
      </c>
      <c r="X369" t="str">
        <f t="shared" si="61"/>
        <v>OK</v>
      </c>
      <c r="Y369">
        <f t="shared" si="55"/>
        <v>0.15</v>
      </c>
      <c r="Z369">
        <f t="shared" si="56"/>
        <v>1</v>
      </c>
      <c r="AA369">
        <f t="shared" si="62"/>
        <v>4936.8989999999994</v>
      </c>
      <c r="AB369">
        <f t="shared" si="63"/>
        <v>19456.958999999999</v>
      </c>
      <c r="AC369">
        <f t="shared" si="64"/>
        <v>1</v>
      </c>
      <c r="AD369" t="str">
        <f t="shared" si="57"/>
        <v>North</v>
      </c>
      <c r="AE369" t="str">
        <f t="shared" si="65"/>
        <v>Clean</v>
      </c>
      <c r="AF369" t="str">
        <f t="shared" si="58"/>
        <v>Standard Class</v>
      </c>
    </row>
    <row r="370" spans="1:32">
      <c r="A370" t="s">
        <v>4847</v>
      </c>
      <c r="B370" s="4">
        <v>45844</v>
      </c>
      <c r="C370" s="4">
        <v>45844</v>
      </c>
      <c r="D370" t="s">
        <v>4848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  <c r="V370" t="str">
        <f t="shared" si="59"/>
        <v>July</v>
      </c>
      <c r="W370" s="5" t="str">
        <f t="shared" si="60"/>
        <v>Invalid</v>
      </c>
      <c r="X370" t="str">
        <f t="shared" si="61"/>
        <v>OK</v>
      </c>
      <c r="Y370">
        <f t="shared" si="55"/>
        <v>0.05</v>
      </c>
      <c r="Z370">
        <f t="shared" si="56"/>
        <v>1</v>
      </c>
      <c r="AA370">
        <f t="shared" si="62"/>
        <v>567.10449999999992</v>
      </c>
      <c r="AB370">
        <f t="shared" si="63"/>
        <v>2079.2745</v>
      </c>
      <c r="AC370">
        <f t="shared" si="64"/>
        <v>0</v>
      </c>
      <c r="AD370" t="str">
        <f t="shared" si="57"/>
        <v>North</v>
      </c>
      <c r="AE370" t="str">
        <f t="shared" si="65"/>
        <v>Clean</v>
      </c>
      <c r="AF370" t="str">
        <f t="shared" si="58"/>
        <v>Same Day</v>
      </c>
    </row>
    <row r="371" spans="1:32">
      <c r="A371" t="s">
        <v>4849</v>
      </c>
      <c r="B371" s="4">
        <v>45680</v>
      </c>
      <c r="C371" s="4">
        <v>45687</v>
      </c>
      <c r="D371" t="s">
        <v>4850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  <c r="V371" t="str">
        <f t="shared" si="59"/>
        <v>January</v>
      </c>
      <c r="W371" t="str">
        <f t="shared" si="60"/>
        <v>OK</v>
      </c>
      <c r="X371" t="str">
        <f t="shared" si="61"/>
        <v>OK</v>
      </c>
      <c r="Y371">
        <f t="shared" si="55"/>
        <v>0.15</v>
      </c>
      <c r="Z371">
        <f t="shared" si="56"/>
        <v>1</v>
      </c>
      <c r="AA371">
        <f t="shared" si="62"/>
        <v>2205.3304999999982</v>
      </c>
      <c r="AB371">
        <f t="shared" si="63"/>
        <v>8945.6804999999986</v>
      </c>
      <c r="AC371">
        <f t="shared" si="64"/>
        <v>7</v>
      </c>
      <c r="AD371" t="str">
        <f t="shared" si="57"/>
        <v>North</v>
      </c>
      <c r="AE371" t="str">
        <f t="shared" si="65"/>
        <v>Clean</v>
      </c>
      <c r="AF371" t="str">
        <f t="shared" si="58"/>
        <v>Standard Class</v>
      </c>
    </row>
    <row r="372" spans="1:32">
      <c r="A372" t="s">
        <v>4851</v>
      </c>
      <c r="B372" s="4">
        <v>45519</v>
      </c>
      <c r="C372" s="4">
        <v>45525</v>
      </c>
      <c r="D372" t="s">
        <v>4852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  <c r="V372" t="str">
        <f t="shared" si="59"/>
        <v>August</v>
      </c>
      <c r="W372" t="str">
        <f t="shared" si="60"/>
        <v>OK</v>
      </c>
      <c r="X372" t="str">
        <f t="shared" si="61"/>
        <v>OK</v>
      </c>
      <c r="Y372">
        <f t="shared" si="55"/>
        <v>0.2</v>
      </c>
      <c r="Z372">
        <f t="shared" si="56"/>
        <v>1</v>
      </c>
      <c r="AA372">
        <f t="shared" si="62"/>
        <v>4300.746000000001</v>
      </c>
      <c r="AB372">
        <f t="shared" si="63"/>
        <v>13069.336000000001</v>
      </c>
      <c r="AC372">
        <f t="shared" si="64"/>
        <v>6</v>
      </c>
      <c r="AD372" t="str">
        <f t="shared" si="57"/>
        <v>West</v>
      </c>
      <c r="AE372" t="str">
        <f t="shared" si="65"/>
        <v>Clean</v>
      </c>
      <c r="AF372" t="str">
        <f t="shared" si="58"/>
        <v>First Class</v>
      </c>
    </row>
    <row r="373" spans="1:32">
      <c r="A373" t="s">
        <v>4853</v>
      </c>
      <c r="B373" s="4">
        <v>45313</v>
      </c>
      <c r="C373" s="4">
        <v>45315</v>
      </c>
      <c r="D373" t="s">
        <v>4854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  <c r="V373" t="str">
        <f t="shared" si="59"/>
        <v>January</v>
      </c>
      <c r="W373" t="str">
        <f t="shared" si="60"/>
        <v>OK</v>
      </c>
      <c r="X373" t="str">
        <f t="shared" si="61"/>
        <v>OK</v>
      </c>
      <c r="Y373">
        <f t="shared" si="55"/>
        <v>0</v>
      </c>
      <c r="Z373">
        <f t="shared" si="56"/>
        <v>1</v>
      </c>
      <c r="AA373">
        <f t="shared" si="62"/>
        <v>3174.4199999999996</v>
      </c>
      <c r="AB373">
        <f t="shared" si="63"/>
        <v>6156.36</v>
      </c>
      <c r="AC373">
        <f t="shared" si="64"/>
        <v>2</v>
      </c>
      <c r="AD373" t="str">
        <f t="shared" si="57"/>
        <v>West</v>
      </c>
      <c r="AE373" t="str">
        <f t="shared" si="65"/>
        <v>Clean</v>
      </c>
      <c r="AF373" t="str">
        <f t="shared" si="58"/>
        <v>Standard Class</v>
      </c>
    </row>
    <row r="374" spans="1:32">
      <c r="A374" t="s">
        <v>4855</v>
      </c>
      <c r="B374" s="4">
        <v>45885</v>
      </c>
      <c r="C374" s="4">
        <v>45887</v>
      </c>
      <c r="D374" t="s">
        <v>4471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  <c r="V374" t="str">
        <f t="shared" si="59"/>
        <v>August</v>
      </c>
      <c r="W374" t="str">
        <f t="shared" si="60"/>
        <v>OK</v>
      </c>
      <c r="X374" t="str">
        <f t="shared" si="61"/>
        <v>OK</v>
      </c>
      <c r="Y374">
        <f t="shared" si="55"/>
        <v>0</v>
      </c>
      <c r="Z374">
        <f t="shared" si="56"/>
        <v>1</v>
      </c>
      <c r="AA374">
        <f t="shared" si="62"/>
        <v>2480.0199999999995</v>
      </c>
      <c r="AB374">
        <f t="shared" si="63"/>
        <v>7651.7999999999993</v>
      </c>
      <c r="AC374">
        <f t="shared" si="64"/>
        <v>2</v>
      </c>
      <c r="AD374" t="str">
        <f t="shared" si="57"/>
        <v>East</v>
      </c>
      <c r="AE374" t="str">
        <f t="shared" si="65"/>
        <v>Clean</v>
      </c>
      <c r="AF374" t="str">
        <f t="shared" si="58"/>
        <v>Same Day</v>
      </c>
    </row>
    <row r="375" spans="1:32">
      <c r="A375" t="s">
        <v>4856</v>
      </c>
      <c r="B375" s="4">
        <v>45760</v>
      </c>
      <c r="C375" s="4">
        <v>45760</v>
      </c>
      <c r="D375" t="s">
        <v>4857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s="6" t="s">
        <v>35</v>
      </c>
      <c r="V375" t="str">
        <f t="shared" si="59"/>
        <v>April</v>
      </c>
      <c r="W375" s="5" t="str">
        <f t="shared" si="60"/>
        <v>Invalid</v>
      </c>
      <c r="X375" t="str">
        <f t="shared" si="61"/>
        <v>OK</v>
      </c>
      <c r="Y375">
        <f t="shared" si="55"/>
        <v>0</v>
      </c>
      <c r="Z375" s="5">
        <f t="shared" si="56"/>
        <v>2</v>
      </c>
      <c r="AA375">
        <f t="shared" si="62"/>
        <v>1472.75</v>
      </c>
      <c r="AB375">
        <f t="shared" si="63"/>
        <v>10068.120000000001</v>
      </c>
      <c r="AC375">
        <f t="shared" si="64"/>
        <v>0</v>
      </c>
      <c r="AD375" t="str">
        <f t="shared" si="57"/>
        <v>North</v>
      </c>
      <c r="AE375" t="str">
        <f t="shared" si="65"/>
        <v>Clean</v>
      </c>
      <c r="AF375" t="str">
        <f t="shared" si="58"/>
        <v>Second Class</v>
      </c>
    </row>
    <row r="376" spans="1:32">
      <c r="A376" t="s">
        <v>4858</v>
      </c>
      <c r="B376" s="4">
        <v>45715</v>
      </c>
      <c r="C376" s="4">
        <v>45716</v>
      </c>
      <c r="D376" t="s">
        <v>4859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  <c r="V376" t="str">
        <f t="shared" si="59"/>
        <v>February</v>
      </c>
      <c r="W376" t="str">
        <f t="shared" si="60"/>
        <v>OK</v>
      </c>
      <c r="X376" t="str">
        <f t="shared" si="61"/>
        <v>OK</v>
      </c>
      <c r="Y376">
        <f t="shared" si="55"/>
        <v>0</v>
      </c>
      <c r="Z376">
        <f t="shared" si="56"/>
        <v>1</v>
      </c>
      <c r="AA376">
        <f t="shared" si="62"/>
        <v>6241.79</v>
      </c>
      <c r="AB376">
        <f t="shared" si="63"/>
        <v>14359.5</v>
      </c>
      <c r="AC376">
        <f t="shared" si="64"/>
        <v>1</v>
      </c>
      <c r="AD376" t="str">
        <f t="shared" si="57"/>
        <v>North</v>
      </c>
      <c r="AE376" t="str">
        <f t="shared" si="65"/>
        <v>Clean</v>
      </c>
      <c r="AF376" t="str">
        <f t="shared" si="58"/>
        <v>Standard Class</v>
      </c>
    </row>
    <row r="377" spans="1:32">
      <c r="A377" t="s">
        <v>4860</v>
      </c>
      <c r="B377" s="4">
        <v>45657</v>
      </c>
      <c r="C377" s="4">
        <v>45661</v>
      </c>
      <c r="D377" t="s">
        <v>4861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  <c r="V377" t="str">
        <f t="shared" si="59"/>
        <v>January</v>
      </c>
      <c r="W377" t="str">
        <f t="shared" si="60"/>
        <v>OK</v>
      </c>
      <c r="X377" t="str">
        <f t="shared" si="61"/>
        <v>OK</v>
      </c>
      <c r="Y377">
        <f t="shared" si="55"/>
        <v>0.25</v>
      </c>
      <c r="Z377">
        <f t="shared" si="56"/>
        <v>1</v>
      </c>
      <c r="AA377">
        <f t="shared" si="62"/>
        <v>370.99249999999984</v>
      </c>
      <c r="AB377">
        <f t="shared" si="63"/>
        <v>2624.8724999999999</v>
      </c>
      <c r="AC377">
        <f t="shared" si="64"/>
        <v>4</v>
      </c>
      <c r="AD377" t="str">
        <f t="shared" si="57"/>
        <v>North</v>
      </c>
      <c r="AE377" t="str">
        <f t="shared" si="65"/>
        <v>Clean</v>
      </c>
      <c r="AF377" t="str">
        <f t="shared" si="58"/>
        <v>Same Day</v>
      </c>
    </row>
    <row r="378" spans="1:32">
      <c r="A378" t="s">
        <v>4862</v>
      </c>
      <c r="B378" s="4">
        <v>45655</v>
      </c>
      <c r="C378" s="4">
        <v>45657</v>
      </c>
      <c r="D378" t="s">
        <v>4863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  <c r="V378" t="str">
        <f t="shared" si="59"/>
        <v>December</v>
      </c>
      <c r="W378" t="str">
        <f t="shared" si="60"/>
        <v>OK</v>
      </c>
      <c r="X378" t="str">
        <f t="shared" si="61"/>
        <v>OK</v>
      </c>
      <c r="Y378">
        <f t="shared" si="55"/>
        <v>0.2</v>
      </c>
      <c r="Z378">
        <f t="shared" si="56"/>
        <v>1</v>
      </c>
      <c r="AA378">
        <f t="shared" si="62"/>
        <v>1420.9940000000015</v>
      </c>
      <c r="AB378">
        <f t="shared" si="63"/>
        <v>8854.9440000000013</v>
      </c>
      <c r="AC378">
        <f t="shared" si="64"/>
        <v>2</v>
      </c>
      <c r="AD378" t="str">
        <f t="shared" si="57"/>
        <v>East</v>
      </c>
      <c r="AE378" t="str">
        <f t="shared" si="65"/>
        <v>Clean</v>
      </c>
      <c r="AF378" t="str">
        <f t="shared" si="58"/>
        <v>First Class</v>
      </c>
    </row>
    <row r="379" spans="1:32">
      <c r="A379" t="s">
        <v>4864</v>
      </c>
      <c r="B379" s="4">
        <v>45801</v>
      </c>
      <c r="C379" s="4">
        <v>45807</v>
      </c>
      <c r="D379" t="s">
        <v>4865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156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  <c r="V379" t="str">
        <f t="shared" si="59"/>
        <v>May</v>
      </c>
      <c r="W379" t="str">
        <f t="shared" si="60"/>
        <v>OK</v>
      </c>
      <c r="X379" t="str">
        <f t="shared" si="61"/>
        <v>OK</v>
      </c>
      <c r="Y379">
        <f t="shared" si="55"/>
        <v>0</v>
      </c>
      <c r="Z379">
        <f t="shared" si="56"/>
        <v>1</v>
      </c>
      <c r="AA379">
        <f t="shared" si="62"/>
        <v>810.15999999999985</v>
      </c>
      <c r="AB379">
        <f t="shared" si="63"/>
        <v>2564.7399999999998</v>
      </c>
      <c r="AC379">
        <f t="shared" si="64"/>
        <v>6</v>
      </c>
      <c r="AD379" t="str">
        <f t="shared" si="57"/>
        <v>East</v>
      </c>
      <c r="AE379" t="str">
        <f t="shared" si="65"/>
        <v>Clean</v>
      </c>
      <c r="AF379" t="str">
        <f t="shared" si="58"/>
        <v>Same Day</v>
      </c>
    </row>
    <row r="380" spans="1:32">
      <c r="A380" t="s">
        <v>4866</v>
      </c>
      <c r="B380" s="4">
        <v>45799</v>
      </c>
      <c r="C380" s="4">
        <v>45799</v>
      </c>
      <c r="D380" t="s">
        <v>4867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  <c r="V380" t="str">
        <f t="shared" si="59"/>
        <v>May</v>
      </c>
      <c r="W380" s="5" t="str">
        <f t="shared" si="60"/>
        <v>Invalid</v>
      </c>
      <c r="X380" t="str">
        <f t="shared" si="61"/>
        <v>OK</v>
      </c>
      <c r="Y380">
        <f t="shared" si="55"/>
        <v>0</v>
      </c>
      <c r="Z380">
        <f t="shared" si="56"/>
        <v>1</v>
      </c>
      <c r="AA380">
        <f t="shared" si="62"/>
        <v>2826.76</v>
      </c>
      <c r="AB380">
        <f t="shared" si="63"/>
        <v>7821.22</v>
      </c>
      <c r="AC380">
        <f t="shared" si="64"/>
        <v>0</v>
      </c>
      <c r="AD380" t="str">
        <f t="shared" si="57"/>
        <v>West</v>
      </c>
      <c r="AE380" t="str">
        <f t="shared" si="65"/>
        <v>Clean</v>
      </c>
      <c r="AF380" t="str">
        <f t="shared" si="58"/>
        <v>Standard Class</v>
      </c>
    </row>
    <row r="381" spans="1:32">
      <c r="A381" t="s">
        <v>4868</v>
      </c>
      <c r="B381" s="4">
        <v>45554</v>
      </c>
      <c r="C381" s="4">
        <v>45558</v>
      </c>
      <c r="D381" t="s">
        <v>4869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  <c r="V381" t="str">
        <f t="shared" si="59"/>
        <v>September</v>
      </c>
      <c r="W381" t="str">
        <f t="shared" si="60"/>
        <v>OK</v>
      </c>
      <c r="X381" t="str">
        <f t="shared" si="61"/>
        <v>OK</v>
      </c>
      <c r="Y381">
        <f t="shared" si="55"/>
        <v>0</v>
      </c>
      <c r="Z381">
        <f t="shared" si="56"/>
        <v>1</v>
      </c>
      <c r="AA381">
        <f t="shared" si="62"/>
        <v>3157.2200000000003</v>
      </c>
      <c r="AB381">
        <f t="shared" si="63"/>
        <v>7956.76</v>
      </c>
      <c r="AC381">
        <f t="shared" si="64"/>
        <v>4</v>
      </c>
      <c r="AD381" t="str">
        <f t="shared" si="57"/>
        <v>South</v>
      </c>
      <c r="AE381" t="str">
        <f t="shared" si="65"/>
        <v>Clean</v>
      </c>
      <c r="AF381" t="str">
        <f t="shared" si="58"/>
        <v>Standard Class</v>
      </c>
    </row>
    <row r="382" spans="1:32">
      <c r="A382" t="s">
        <v>4870</v>
      </c>
      <c r="B382" s="4">
        <v>45477</v>
      </c>
      <c r="C382" s="4">
        <v>45396</v>
      </c>
      <c r="D382" t="s">
        <v>4871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  <c r="V382" t="str">
        <f t="shared" si="59"/>
        <v>April</v>
      </c>
      <c r="W382" s="5" t="str">
        <f t="shared" si="60"/>
        <v>Invalid</v>
      </c>
      <c r="X382" t="str">
        <f t="shared" si="61"/>
        <v>OK</v>
      </c>
      <c r="Y382">
        <f t="shared" si="55"/>
        <v>0.25</v>
      </c>
      <c r="Z382">
        <f t="shared" si="56"/>
        <v>1</v>
      </c>
      <c r="AA382">
        <f t="shared" si="62"/>
        <v>3618.4775</v>
      </c>
      <c r="AB382">
        <f t="shared" si="63"/>
        <v>8384.4375</v>
      </c>
      <c r="AC382" s="5">
        <f t="shared" si="64"/>
        <v>-81</v>
      </c>
      <c r="AD382" t="str">
        <f t="shared" si="57"/>
        <v>West</v>
      </c>
      <c r="AE382" t="str">
        <f t="shared" si="65"/>
        <v>Invalid</v>
      </c>
      <c r="AF382" t="str">
        <f t="shared" si="58"/>
        <v>Same Day</v>
      </c>
    </row>
    <row r="383" spans="1:32">
      <c r="A383" t="s">
        <v>4872</v>
      </c>
      <c r="B383" s="4">
        <v>45919</v>
      </c>
      <c r="C383" s="4">
        <v>45923</v>
      </c>
      <c r="D383" t="s">
        <v>4873</v>
      </c>
      <c r="E383" t="s">
        <v>61</v>
      </c>
      <c r="F383" t="s">
        <v>115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  <c r="V383" t="str">
        <f t="shared" si="59"/>
        <v>September</v>
      </c>
      <c r="W383" t="str">
        <f t="shared" si="60"/>
        <v>OK</v>
      </c>
      <c r="X383" t="str">
        <f t="shared" si="61"/>
        <v>OK</v>
      </c>
      <c r="Y383">
        <f t="shared" si="55"/>
        <v>0.05</v>
      </c>
      <c r="Z383">
        <f t="shared" si="56"/>
        <v>1</v>
      </c>
      <c r="AA383">
        <f t="shared" si="62"/>
        <v>5837.9799999999977</v>
      </c>
      <c r="AB383">
        <f t="shared" si="63"/>
        <v>16671.169999999998</v>
      </c>
      <c r="AC383">
        <f t="shared" si="64"/>
        <v>4</v>
      </c>
      <c r="AD383" t="str">
        <f t="shared" si="57"/>
        <v>North</v>
      </c>
      <c r="AE383" t="str">
        <f t="shared" si="65"/>
        <v>Clean</v>
      </c>
      <c r="AF383" t="str">
        <f t="shared" si="58"/>
        <v>Standard Class</v>
      </c>
    </row>
    <row r="384" spans="1:32">
      <c r="A384" t="s">
        <v>4874</v>
      </c>
      <c r="B384" s="4">
        <v>45750</v>
      </c>
      <c r="C384" s="4">
        <v>45872</v>
      </c>
      <c r="D384" t="s">
        <v>4164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86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  <c r="V384" t="str">
        <f t="shared" si="59"/>
        <v>August</v>
      </c>
      <c r="W384" t="str">
        <f t="shared" si="60"/>
        <v>OK</v>
      </c>
      <c r="X384" t="str">
        <f t="shared" si="61"/>
        <v>OK</v>
      </c>
      <c r="Y384">
        <f t="shared" si="55"/>
        <v>0.2</v>
      </c>
      <c r="Z384">
        <f t="shared" si="56"/>
        <v>1</v>
      </c>
      <c r="AA384">
        <f t="shared" si="62"/>
        <v>2068.5700000000015</v>
      </c>
      <c r="AB384">
        <f t="shared" si="63"/>
        <v>10468.440000000002</v>
      </c>
      <c r="AC384">
        <f t="shared" si="64"/>
        <v>122</v>
      </c>
      <c r="AD384" t="str">
        <f t="shared" si="57"/>
        <v>East</v>
      </c>
      <c r="AE384" t="str">
        <f t="shared" si="65"/>
        <v>Clean</v>
      </c>
      <c r="AF384" t="str">
        <f t="shared" si="58"/>
        <v>First Class</v>
      </c>
    </row>
    <row r="385" spans="1:32">
      <c r="A385" t="s">
        <v>4875</v>
      </c>
      <c r="B385" s="4">
        <v>45836</v>
      </c>
      <c r="C385" s="4">
        <v>45843</v>
      </c>
      <c r="D385" t="s">
        <v>4876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  <c r="V385" t="str">
        <f t="shared" si="59"/>
        <v>July</v>
      </c>
      <c r="W385" t="str">
        <f t="shared" si="60"/>
        <v>OK</v>
      </c>
      <c r="X385" t="str">
        <f t="shared" si="61"/>
        <v>OK</v>
      </c>
      <c r="Y385">
        <f t="shared" si="55"/>
        <v>0</v>
      </c>
      <c r="Z385">
        <f t="shared" si="56"/>
        <v>1</v>
      </c>
      <c r="AA385">
        <f t="shared" si="62"/>
        <v>1353.6399999999999</v>
      </c>
      <c r="AB385">
        <f t="shared" si="63"/>
        <v>4485.5</v>
      </c>
      <c r="AC385">
        <f t="shared" si="64"/>
        <v>7</v>
      </c>
      <c r="AD385" t="str">
        <f t="shared" si="57"/>
        <v>East</v>
      </c>
      <c r="AE385" t="str">
        <f t="shared" si="65"/>
        <v>Clean</v>
      </c>
      <c r="AF385" t="str">
        <f t="shared" si="58"/>
        <v>First Class</v>
      </c>
    </row>
    <row r="386" spans="1:32">
      <c r="A386" t="s">
        <v>4877</v>
      </c>
      <c r="B386" s="4">
        <v>45366</v>
      </c>
      <c r="C386" s="4">
        <v>45371</v>
      </c>
      <c r="D386" t="s">
        <v>4878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  <c r="V386" t="str">
        <f t="shared" si="59"/>
        <v>March</v>
      </c>
      <c r="W386" t="str">
        <f t="shared" si="60"/>
        <v>OK</v>
      </c>
      <c r="X386" t="str">
        <f t="shared" si="61"/>
        <v>OK</v>
      </c>
      <c r="Y386">
        <f t="shared" ref="Y386:Y449" si="66">IF(P386 ="",0,P386)</f>
        <v>0.25</v>
      </c>
      <c r="Z386">
        <f t="shared" ref="Z386:Z449" si="67">COUNTIF(A:A,A386)</f>
        <v>1</v>
      </c>
      <c r="AA386">
        <f t="shared" si="62"/>
        <v>1197.5300000000004</v>
      </c>
      <c r="AB386">
        <f t="shared" si="63"/>
        <v>2822.1000000000004</v>
      </c>
      <c r="AC386">
        <f t="shared" si="64"/>
        <v>5</v>
      </c>
      <c r="AD386" t="str">
        <f t="shared" ref="AD386:AD449" si="68">IF(G386="","Unknown",G386)</f>
        <v>East</v>
      </c>
      <c r="AE386" t="str">
        <f t="shared" si="65"/>
        <v>Clean</v>
      </c>
      <c r="AF386" t="str">
        <f t="shared" ref="AF386:AF449" si="69">IF(M386="","Unknown",M386)</f>
        <v>Standard Class</v>
      </c>
    </row>
    <row r="387" spans="1:32">
      <c r="A387" t="s">
        <v>4879</v>
      </c>
      <c r="B387" s="4">
        <v>45832</v>
      </c>
      <c r="C387" s="4">
        <v>45838</v>
      </c>
      <c r="D387" t="s">
        <v>4880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  <c r="V387" t="str">
        <f t="shared" ref="V387:V450" si="70">TEXT(C387,"MMMM")</f>
        <v>June</v>
      </c>
      <c r="W387" t="str">
        <f t="shared" ref="W387:W450" si="71">IF(B387&lt;C387,"OK","Invalid")</f>
        <v>OK</v>
      </c>
      <c r="X387" t="str">
        <f t="shared" ref="X387:X450" si="72">IF(P387&lt;0,"Negative Discount","OK")</f>
        <v>OK</v>
      </c>
      <c r="Y387">
        <f t="shared" si="66"/>
        <v>0.1</v>
      </c>
      <c r="Z387">
        <f t="shared" si="67"/>
        <v>1</v>
      </c>
      <c r="AA387">
        <f t="shared" ref="AA387:AA450" si="73">AB387-R387</f>
        <v>859.75400000000013</v>
      </c>
      <c r="AB387">
        <f t="shared" ref="AB387:AB450" si="74">N387*O387*(1-Y387)</f>
        <v>1975.104</v>
      </c>
      <c r="AC387">
        <f t="shared" ref="AC387:AC450" si="75">C387-B387</f>
        <v>6</v>
      </c>
      <c r="AD387" t="str">
        <f t="shared" si="68"/>
        <v>North</v>
      </c>
      <c r="AE387" t="str">
        <f t="shared" ref="AE387:AE450" si="76">IF(OR(P387&lt;0,P387&gt;1,C387&lt;B387),"Invalid",IF(OR(G387="Unknown",M387="Unknown"),"Warning","Clean"))</f>
        <v>Clean</v>
      </c>
      <c r="AF387" t="str">
        <f t="shared" si="69"/>
        <v>Standard Class</v>
      </c>
    </row>
    <row r="388" spans="1:32">
      <c r="A388" t="s">
        <v>4881</v>
      </c>
      <c r="B388" s="4">
        <v>45993</v>
      </c>
      <c r="C388" s="4">
        <v>45702</v>
      </c>
      <c r="D388" t="s">
        <v>4882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  <c r="V388" t="str">
        <f t="shared" si="70"/>
        <v>February</v>
      </c>
      <c r="W388" s="5" t="str">
        <f t="shared" si="71"/>
        <v>Invalid</v>
      </c>
      <c r="X388" t="str">
        <f t="shared" si="72"/>
        <v>OK</v>
      </c>
      <c r="Y388">
        <f t="shared" si="66"/>
        <v>0.1</v>
      </c>
      <c r="Z388">
        <f t="shared" si="67"/>
        <v>1</v>
      </c>
      <c r="AA388">
        <f t="shared" si="73"/>
        <v>5700.5720000000019</v>
      </c>
      <c r="AB388">
        <f t="shared" si="74"/>
        <v>20063.952000000001</v>
      </c>
      <c r="AC388" s="5">
        <f t="shared" si="75"/>
        <v>-291</v>
      </c>
      <c r="AD388" t="str">
        <f t="shared" si="68"/>
        <v>West</v>
      </c>
      <c r="AE388" t="str">
        <f t="shared" si="76"/>
        <v>Invalid</v>
      </c>
      <c r="AF388" t="str">
        <f t="shared" si="69"/>
        <v>Second Class</v>
      </c>
    </row>
    <row r="389" spans="1:32">
      <c r="A389" t="s">
        <v>4883</v>
      </c>
      <c r="B389" s="4">
        <v>45879</v>
      </c>
      <c r="C389" s="4">
        <v>45882</v>
      </c>
      <c r="D389" t="s">
        <v>4884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  <c r="V389" t="str">
        <f t="shared" si="70"/>
        <v>August</v>
      </c>
      <c r="W389" t="str">
        <f t="shared" si="71"/>
        <v>OK</v>
      </c>
      <c r="X389" t="str">
        <f t="shared" si="72"/>
        <v>OK</v>
      </c>
      <c r="Y389">
        <f t="shared" si="66"/>
        <v>0</v>
      </c>
      <c r="Z389">
        <f t="shared" si="67"/>
        <v>1</v>
      </c>
      <c r="AA389">
        <f t="shared" si="73"/>
        <v>431.81000000000017</v>
      </c>
      <c r="AB389">
        <f t="shared" si="74"/>
        <v>1764.3000000000002</v>
      </c>
      <c r="AC389">
        <f t="shared" si="75"/>
        <v>3</v>
      </c>
      <c r="AD389" t="str">
        <f t="shared" si="68"/>
        <v>West</v>
      </c>
      <c r="AE389" t="str">
        <f t="shared" si="76"/>
        <v>Clean</v>
      </c>
      <c r="AF389" t="str">
        <f t="shared" si="69"/>
        <v>Standard Class</v>
      </c>
    </row>
    <row r="390" spans="1:32">
      <c r="A390" t="s">
        <v>4885</v>
      </c>
      <c r="B390" s="4">
        <v>45425</v>
      </c>
      <c r="C390" s="4">
        <v>45430</v>
      </c>
      <c r="D390" t="s">
        <v>4886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  <c r="V390" t="str">
        <f t="shared" si="70"/>
        <v>May</v>
      </c>
      <c r="W390" t="str">
        <f t="shared" si="71"/>
        <v>OK</v>
      </c>
      <c r="X390" t="str">
        <f t="shared" si="72"/>
        <v>OK</v>
      </c>
      <c r="Y390">
        <f t="shared" si="66"/>
        <v>0</v>
      </c>
      <c r="Z390">
        <f t="shared" si="67"/>
        <v>1</v>
      </c>
      <c r="AA390">
        <f t="shared" si="73"/>
        <v>2513.3300000000008</v>
      </c>
      <c r="AB390">
        <f t="shared" si="74"/>
        <v>9385.77</v>
      </c>
      <c r="AC390">
        <f t="shared" si="75"/>
        <v>5</v>
      </c>
      <c r="AD390" t="str">
        <f t="shared" si="68"/>
        <v>West</v>
      </c>
      <c r="AE390" t="str">
        <f t="shared" si="76"/>
        <v>Clean</v>
      </c>
      <c r="AF390" t="str">
        <f t="shared" si="69"/>
        <v>Standard Class</v>
      </c>
    </row>
    <row r="391" spans="1:32">
      <c r="A391" t="s">
        <v>4887</v>
      </c>
      <c r="B391" s="4">
        <v>45416</v>
      </c>
      <c r="C391" s="4">
        <v>45395</v>
      </c>
      <c r="D391" t="s">
        <v>4888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  <c r="V391" t="str">
        <f t="shared" si="70"/>
        <v>April</v>
      </c>
      <c r="W391" s="5" t="str">
        <f t="shared" si="71"/>
        <v>Invalid</v>
      </c>
      <c r="X391" t="str">
        <f t="shared" si="72"/>
        <v>OK</v>
      </c>
      <c r="Y391">
        <f t="shared" si="66"/>
        <v>0.2</v>
      </c>
      <c r="Z391">
        <f t="shared" si="67"/>
        <v>1</v>
      </c>
      <c r="AA391">
        <f t="shared" si="73"/>
        <v>2315.8600000000006</v>
      </c>
      <c r="AB391">
        <f t="shared" si="74"/>
        <v>7750.1600000000008</v>
      </c>
      <c r="AC391" s="5">
        <f t="shared" si="75"/>
        <v>-21</v>
      </c>
      <c r="AD391" t="str">
        <f t="shared" si="68"/>
        <v>West</v>
      </c>
      <c r="AE391" t="str">
        <f t="shared" si="76"/>
        <v>Invalid</v>
      </c>
      <c r="AF391" t="str">
        <f t="shared" si="69"/>
        <v>Second Class</v>
      </c>
    </row>
    <row r="392" spans="1:32">
      <c r="A392" t="s">
        <v>4889</v>
      </c>
      <c r="B392" s="4">
        <v>45454</v>
      </c>
      <c r="C392" s="4">
        <v>45607</v>
      </c>
      <c r="D392" t="s">
        <v>4890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  <c r="V392" t="str">
        <f t="shared" si="70"/>
        <v>November</v>
      </c>
      <c r="W392" t="str">
        <f t="shared" si="71"/>
        <v>OK</v>
      </c>
      <c r="X392" t="str">
        <f t="shared" si="72"/>
        <v>OK</v>
      </c>
      <c r="Y392">
        <f t="shared" si="66"/>
        <v>0.2</v>
      </c>
      <c r="Z392">
        <f t="shared" si="67"/>
        <v>1</v>
      </c>
      <c r="AA392">
        <f t="shared" si="73"/>
        <v>2695.442</v>
      </c>
      <c r="AB392">
        <f t="shared" si="74"/>
        <v>6135.232</v>
      </c>
      <c r="AC392">
        <f t="shared" si="75"/>
        <v>153</v>
      </c>
      <c r="AD392" t="str">
        <f t="shared" si="68"/>
        <v>West</v>
      </c>
      <c r="AE392" t="str">
        <f t="shared" si="76"/>
        <v>Clean</v>
      </c>
      <c r="AF392" t="str">
        <f t="shared" si="69"/>
        <v>Standard Class</v>
      </c>
    </row>
    <row r="393" spans="1:32">
      <c r="A393" t="s">
        <v>4891</v>
      </c>
      <c r="B393" s="4">
        <v>45702</v>
      </c>
      <c r="C393" s="4">
        <v>45702</v>
      </c>
      <c r="D393" t="s">
        <v>4892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  <c r="V393" t="str">
        <f t="shared" si="70"/>
        <v>February</v>
      </c>
      <c r="W393" s="5" t="str">
        <f t="shared" si="71"/>
        <v>Invalid</v>
      </c>
      <c r="X393" t="str">
        <f t="shared" si="72"/>
        <v>OK</v>
      </c>
      <c r="Y393">
        <f t="shared" si="66"/>
        <v>0</v>
      </c>
      <c r="Z393">
        <f t="shared" si="67"/>
        <v>1</v>
      </c>
      <c r="AA393">
        <f t="shared" si="73"/>
        <v>148.9899999999999</v>
      </c>
      <c r="AB393">
        <f t="shared" si="74"/>
        <v>714.43</v>
      </c>
      <c r="AC393">
        <f t="shared" si="75"/>
        <v>0</v>
      </c>
      <c r="AD393" t="str">
        <f t="shared" si="68"/>
        <v>South</v>
      </c>
      <c r="AE393" t="str">
        <f t="shared" si="76"/>
        <v>Clean</v>
      </c>
      <c r="AF393" t="str">
        <f t="shared" si="69"/>
        <v>First Class</v>
      </c>
    </row>
    <row r="394" spans="1:32">
      <c r="A394" t="s">
        <v>4893</v>
      </c>
      <c r="B394" s="4">
        <v>45341</v>
      </c>
      <c r="C394" s="4">
        <v>45344</v>
      </c>
      <c r="D394" t="s">
        <v>4894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  <c r="V394" t="str">
        <f t="shared" si="70"/>
        <v>February</v>
      </c>
      <c r="W394" t="str">
        <f t="shared" si="71"/>
        <v>OK</v>
      </c>
      <c r="X394" t="str">
        <f t="shared" si="72"/>
        <v>OK</v>
      </c>
      <c r="Y394">
        <f t="shared" si="66"/>
        <v>0</v>
      </c>
      <c r="Z394">
        <f t="shared" si="67"/>
        <v>1</v>
      </c>
      <c r="AA394">
        <f t="shared" si="73"/>
        <v>11951.610000000004</v>
      </c>
      <c r="AB394">
        <f t="shared" si="74"/>
        <v>36477.090000000004</v>
      </c>
      <c r="AC394">
        <f t="shared" si="75"/>
        <v>3</v>
      </c>
      <c r="AD394" t="str">
        <f t="shared" si="68"/>
        <v>South</v>
      </c>
      <c r="AE394" t="str">
        <f t="shared" si="76"/>
        <v>Clean</v>
      </c>
      <c r="AF394" t="str">
        <f t="shared" si="69"/>
        <v>Same Day</v>
      </c>
    </row>
    <row r="395" spans="1:32">
      <c r="A395" t="s">
        <v>4895</v>
      </c>
      <c r="B395" s="4">
        <v>45527</v>
      </c>
      <c r="C395" s="4">
        <v>45533</v>
      </c>
      <c r="D395" t="s">
        <v>4896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  <c r="V395" t="str">
        <f t="shared" si="70"/>
        <v>August</v>
      </c>
      <c r="W395" t="str">
        <f t="shared" si="71"/>
        <v>OK</v>
      </c>
      <c r="X395" t="str">
        <f t="shared" si="72"/>
        <v>OK</v>
      </c>
      <c r="Y395">
        <f t="shared" si="66"/>
        <v>0.05</v>
      </c>
      <c r="Z395">
        <f t="shared" si="67"/>
        <v>1</v>
      </c>
      <c r="AA395">
        <f t="shared" si="73"/>
        <v>712.66899999999987</v>
      </c>
      <c r="AB395">
        <f t="shared" si="74"/>
        <v>3680.1289999999999</v>
      </c>
      <c r="AC395">
        <f t="shared" si="75"/>
        <v>6</v>
      </c>
      <c r="AD395" t="str">
        <f t="shared" si="68"/>
        <v>North</v>
      </c>
      <c r="AE395" t="str">
        <f t="shared" si="76"/>
        <v>Clean</v>
      </c>
      <c r="AF395" t="str">
        <f t="shared" si="69"/>
        <v>Same Day</v>
      </c>
    </row>
    <row r="396" spans="1:32">
      <c r="A396" t="s">
        <v>4897</v>
      </c>
      <c r="B396" s="4">
        <v>45385</v>
      </c>
      <c r="C396" s="4">
        <v>45386</v>
      </c>
      <c r="D396" t="s">
        <v>4898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  <c r="V396" t="str">
        <f t="shared" si="70"/>
        <v>April</v>
      </c>
      <c r="W396" t="str">
        <f t="shared" si="71"/>
        <v>OK</v>
      </c>
      <c r="X396" t="str">
        <f t="shared" si="72"/>
        <v>OK</v>
      </c>
      <c r="Y396">
        <f t="shared" si="66"/>
        <v>0</v>
      </c>
      <c r="Z396">
        <f t="shared" si="67"/>
        <v>1</v>
      </c>
      <c r="AA396">
        <f t="shared" si="73"/>
        <v>6391.2100000000028</v>
      </c>
      <c r="AB396">
        <f t="shared" si="74"/>
        <v>27616.47</v>
      </c>
      <c r="AC396">
        <f t="shared" si="75"/>
        <v>1</v>
      </c>
      <c r="AD396" t="str">
        <f t="shared" si="68"/>
        <v>West</v>
      </c>
      <c r="AE396" t="str">
        <f t="shared" si="76"/>
        <v>Clean</v>
      </c>
      <c r="AF396" t="str">
        <f t="shared" si="69"/>
        <v>First Class</v>
      </c>
    </row>
    <row r="397" spans="1:32">
      <c r="A397" t="s">
        <v>4899</v>
      </c>
      <c r="B397" s="4">
        <v>45449</v>
      </c>
      <c r="C397" s="4">
        <v>45479</v>
      </c>
      <c r="D397" t="s">
        <v>4900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  <c r="V397" t="str">
        <f t="shared" si="70"/>
        <v>July</v>
      </c>
      <c r="W397" t="str">
        <f t="shared" si="71"/>
        <v>OK</v>
      </c>
      <c r="X397" t="str">
        <f t="shared" si="72"/>
        <v>OK</v>
      </c>
      <c r="Y397">
        <f t="shared" si="66"/>
        <v>0.05</v>
      </c>
      <c r="Z397">
        <f t="shared" si="67"/>
        <v>1</v>
      </c>
      <c r="AA397">
        <f t="shared" si="73"/>
        <v>1616.1414999999988</v>
      </c>
      <c r="AB397">
        <f t="shared" si="74"/>
        <v>5731.7014999999992</v>
      </c>
      <c r="AC397">
        <f t="shared" si="75"/>
        <v>30</v>
      </c>
      <c r="AD397" t="str">
        <f t="shared" si="68"/>
        <v>South</v>
      </c>
      <c r="AE397" t="str">
        <f t="shared" si="76"/>
        <v>Clean</v>
      </c>
      <c r="AF397" t="str">
        <f t="shared" si="69"/>
        <v>Same Day</v>
      </c>
    </row>
    <row r="398" spans="1:32">
      <c r="A398" t="s">
        <v>4901</v>
      </c>
      <c r="B398" s="4">
        <v>45761</v>
      </c>
      <c r="C398" s="4">
        <v>45769</v>
      </c>
      <c r="D398" t="s">
        <v>4902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  <c r="V398" t="str">
        <f t="shared" si="70"/>
        <v>April</v>
      </c>
      <c r="W398" t="str">
        <f t="shared" si="71"/>
        <v>OK</v>
      </c>
      <c r="X398" t="str">
        <f t="shared" si="72"/>
        <v>OK</v>
      </c>
      <c r="Y398">
        <f t="shared" si="66"/>
        <v>0.05</v>
      </c>
      <c r="Z398">
        <f t="shared" si="67"/>
        <v>1</v>
      </c>
      <c r="AA398">
        <f t="shared" si="73"/>
        <v>257.36699999999996</v>
      </c>
      <c r="AB398">
        <f t="shared" si="74"/>
        <v>1213.587</v>
      </c>
      <c r="AC398">
        <f t="shared" si="75"/>
        <v>8</v>
      </c>
      <c r="AD398" t="str">
        <f t="shared" si="68"/>
        <v>South</v>
      </c>
      <c r="AE398" t="str">
        <f t="shared" si="76"/>
        <v>Clean</v>
      </c>
      <c r="AF398" t="str">
        <f t="shared" si="69"/>
        <v>Standard Class</v>
      </c>
    </row>
    <row r="399" spans="1:32">
      <c r="A399" t="s">
        <v>4903</v>
      </c>
      <c r="B399" s="4">
        <v>45906</v>
      </c>
      <c r="C399" s="4">
        <v>45818</v>
      </c>
      <c r="D399" t="s">
        <v>4904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  <c r="V399" t="str">
        <f t="shared" si="70"/>
        <v>June</v>
      </c>
      <c r="W399" s="5" t="str">
        <f t="shared" si="71"/>
        <v>Invalid</v>
      </c>
      <c r="X399" t="str">
        <f t="shared" si="72"/>
        <v>OK</v>
      </c>
      <c r="Y399">
        <f t="shared" si="66"/>
        <v>0</v>
      </c>
      <c r="Z399">
        <f t="shared" si="67"/>
        <v>1</v>
      </c>
      <c r="AA399">
        <f t="shared" si="73"/>
        <v>1320.0200000000004</v>
      </c>
      <c r="AB399">
        <f t="shared" si="74"/>
        <v>3463.76</v>
      </c>
      <c r="AC399" s="5">
        <f t="shared" si="75"/>
        <v>-88</v>
      </c>
      <c r="AD399" t="str">
        <f t="shared" si="68"/>
        <v>North</v>
      </c>
      <c r="AE399" t="str">
        <f t="shared" si="76"/>
        <v>Invalid</v>
      </c>
      <c r="AF399" t="str">
        <f t="shared" si="69"/>
        <v>Second Class</v>
      </c>
    </row>
    <row r="400" spans="1:32">
      <c r="A400" t="s">
        <v>4905</v>
      </c>
      <c r="B400" s="4">
        <v>45492</v>
      </c>
      <c r="C400" s="4">
        <v>45499</v>
      </c>
      <c r="D400" t="s">
        <v>4906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  <c r="V400" t="str">
        <f t="shared" si="70"/>
        <v>July</v>
      </c>
      <c r="W400" t="str">
        <f t="shared" si="71"/>
        <v>OK</v>
      </c>
      <c r="X400" t="str">
        <f t="shared" si="72"/>
        <v>OK</v>
      </c>
      <c r="Y400">
        <f t="shared" si="66"/>
        <v>0.2</v>
      </c>
      <c r="Z400">
        <f t="shared" si="67"/>
        <v>1</v>
      </c>
      <c r="AA400">
        <f t="shared" si="73"/>
        <v>666.62000000000012</v>
      </c>
      <c r="AB400">
        <f t="shared" si="74"/>
        <v>2021.8400000000001</v>
      </c>
      <c r="AC400">
        <f t="shared" si="75"/>
        <v>7</v>
      </c>
      <c r="AD400" t="str">
        <f t="shared" si="68"/>
        <v>North</v>
      </c>
      <c r="AE400" t="str">
        <f t="shared" si="76"/>
        <v>Clean</v>
      </c>
      <c r="AF400" t="str">
        <f t="shared" si="69"/>
        <v>Same Day</v>
      </c>
    </row>
    <row r="401" spans="1:32">
      <c r="A401" t="s">
        <v>4907</v>
      </c>
      <c r="B401" s="4">
        <v>45771</v>
      </c>
      <c r="C401" s="4">
        <v>45776</v>
      </c>
      <c r="D401" t="s">
        <v>4908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  <c r="V401" t="str">
        <f t="shared" si="70"/>
        <v>April</v>
      </c>
      <c r="W401" t="str">
        <f t="shared" si="71"/>
        <v>OK</v>
      </c>
      <c r="X401" t="str">
        <f t="shared" si="72"/>
        <v>OK</v>
      </c>
      <c r="Y401">
        <f t="shared" si="66"/>
        <v>0.25</v>
      </c>
      <c r="Z401">
        <f t="shared" si="67"/>
        <v>1</v>
      </c>
      <c r="AA401">
        <f t="shared" si="73"/>
        <v>1275.135</v>
      </c>
      <c r="AB401">
        <f t="shared" si="74"/>
        <v>3268.875</v>
      </c>
      <c r="AC401">
        <f t="shared" si="75"/>
        <v>5</v>
      </c>
      <c r="AD401" t="str">
        <f t="shared" si="68"/>
        <v>South</v>
      </c>
      <c r="AE401" t="str">
        <f t="shared" si="76"/>
        <v>Clean</v>
      </c>
      <c r="AF401" t="str">
        <f t="shared" si="69"/>
        <v>Same Day</v>
      </c>
    </row>
    <row r="402" spans="1:32">
      <c r="A402" t="s">
        <v>4909</v>
      </c>
      <c r="B402" s="4">
        <v>45814</v>
      </c>
      <c r="C402" s="4">
        <v>45819</v>
      </c>
      <c r="D402" t="s">
        <v>4910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  <c r="V402" t="str">
        <f t="shared" si="70"/>
        <v>June</v>
      </c>
      <c r="W402" t="str">
        <f t="shared" si="71"/>
        <v>OK</v>
      </c>
      <c r="X402" s="5" t="str">
        <f t="shared" si="72"/>
        <v>Negative Discount</v>
      </c>
      <c r="Y402">
        <f t="shared" si="66"/>
        <v>-0.1</v>
      </c>
      <c r="Z402">
        <f t="shared" si="67"/>
        <v>1</v>
      </c>
      <c r="AA402">
        <f t="shared" si="73"/>
        <v>1883.9130000000005</v>
      </c>
      <c r="AB402">
        <f t="shared" si="74"/>
        <v>6761.2930000000006</v>
      </c>
      <c r="AC402">
        <f t="shared" si="75"/>
        <v>5</v>
      </c>
      <c r="AD402" t="str">
        <f t="shared" si="68"/>
        <v>North</v>
      </c>
      <c r="AE402" t="str">
        <f t="shared" si="76"/>
        <v>Invalid</v>
      </c>
      <c r="AF402" t="str">
        <f t="shared" si="69"/>
        <v>Same Day</v>
      </c>
    </row>
    <row r="403" spans="1:32">
      <c r="A403" t="s">
        <v>4911</v>
      </c>
      <c r="B403" s="4">
        <v>45903</v>
      </c>
      <c r="C403" s="4">
        <v>45732</v>
      </c>
      <c r="D403" t="s">
        <v>4912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  <c r="V403" t="str">
        <f t="shared" si="70"/>
        <v>March</v>
      </c>
      <c r="W403" s="5" t="str">
        <f t="shared" si="71"/>
        <v>Invalid</v>
      </c>
      <c r="X403" t="str">
        <f t="shared" si="72"/>
        <v>OK</v>
      </c>
      <c r="Y403">
        <f t="shared" si="66"/>
        <v>0</v>
      </c>
      <c r="Z403">
        <f t="shared" si="67"/>
        <v>1</v>
      </c>
      <c r="AA403">
        <f t="shared" si="73"/>
        <v>2314.7799999999988</v>
      </c>
      <c r="AB403">
        <f t="shared" si="74"/>
        <v>7877.5499999999993</v>
      </c>
      <c r="AC403" s="5">
        <f t="shared" si="75"/>
        <v>-171</v>
      </c>
      <c r="AD403" t="str">
        <f t="shared" si="68"/>
        <v>East</v>
      </c>
      <c r="AE403" t="str">
        <f t="shared" si="76"/>
        <v>Invalid</v>
      </c>
      <c r="AF403" t="str">
        <f t="shared" si="69"/>
        <v>Same Day</v>
      </c>
    </row>
    <row r="404" spans="1:32">
      <c r="A404" t="s">
        <v>4913</v>
      </c>
      <c r="B404" s="4">
        <v>45373</v>
      </c>
      <c r="C404" s="4">
        <v>45373</v>
      </c>
      <c r="D404" t="s">
        <v>4914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M404" t="s">
        <v>4187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  <c r="V404" t="str">
        <f t="shared" si="70"/>
        <v>March</v>
      </c>
      <c r="W404" s="5" t="str">
        <f t="shared" si="71"/>
        <v>Invalid</v>
      </c>
      <c r="X404" t="str">
        <f t="shared" si="72"/>
        <v>OK</v>
      </c>
      <c r="Y404">
        <f t="shared" si="66"/>
        <v>0</v>
      </c>
      <c r="Z404">
        <f t="shared" si="67"/>
        <v>1</v>
      </c>
      <c r="AA404">
        <f t="shared" si="73"/>
        <v>1288.0099999999998</v>
      </c>
      <c r="AB404">
        <f t="shared" si="74"/>
        <v>4095.7799999999997</v>
      </c>
      <c r="AC404">
        <f t="shared" si="75"/>
        <v>0</v>
      </c>
      <c r="AD404" t="str">
        <f t="shared" si="68"/>
        <v>South</v>
      </c>
      <c r="AE404" t="str">
        <f t="shared" si="76"/>
        <v>Clean</v>
      </c>
      <c r="AF404" s="5" t="str">
        <f t="shared" si="69"/>
        <v>Unknown</v>
      </c>
    </row>
    <row r="405" spans="1:32">
      <c r="A405" t="s">
        <v>4915</v>
      </c>
      <c r="B405" s="4">
        <v>45565</v>
      </c>
      <c r="C405" s="4">
        <v>45569</v>
      </c>
      <c r="D405" t="s">
        <v>4916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31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  <c r="V405" t="str">
        <f t="shared" si="70"/>
        <v>October</v>
      </c>
      <c r="W405" t="str">
        <f t="shared" si="71"/>
        <v>OK</v>
      </c>
      <c r="X405" t="str">
        <f t="shared" si="72"/>
        <v>OK</v>
      </c>
      <c r="Y405">
        <f t="shared" si="66"/>
        <v>0.05</v>
      </c>
      <c r="Z405">
        <f t="shared" si="67"/>
        <v>1</v>
      </c>
      <c r="AA405">
        <f t="shared" si="73"/>
        <v>6382.0275000000001</v>
      </c>
      <c r="AB405">
        <f t="shared" si="74"/>
        <v>16683.1875</v>
      </c>
      <c r="AC405">
        <f t="shared" si="75"/>
        <v>4</v>
      </c>
      <c r="AD405" t="str">
        <f t="shared" si="68"/>
        <v>South</v>
      </c>
      <c r="AE405" t="str">
        <f t="shared" si="76"/>
        <v>Clean</v>
      </c>
      <c r="AF405" t="str">
        <f t="shared" si="69"/>
        <v>Same Day</v>
      </c>
    </row>
    <row r="406" spans="1:32">
      <c r="A406" t="s">
        <v>4917</v>
      </c>
      <c r="B406" s="4">
        <v>45318</v>
      </c>
      <c r="C406" s="4">
        <v>45353</v>
      </c>
      <c r="D406" t="s">
        <v>4918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  <c r="V406" t="str">
        <f t="shared" si="70"/>
        <v>March</v>
      </c>
      <c r="W406" t="str">
        <f t="shared" si="71"/>
        <v>OK</v>
      </c>
      <c r="X406" t="str">
        <f t="shared" si="72"/>
        <v>OK</v>
      </c>
      <c r="Y406">
        <f t="shared" si="66"/>
        <v>0</v>
      </c>
      <c r="Z406">
        <f t="shared" si="67"/>
        <v>1</v>
      </c>
      <c r="AA406">
        <f t="shared" si="73"/>
        <v>152.4799999999999</v>
      </c>
      <c r="AB406">
        <f t="shared" si="74"/>
        <v>1078.83</v>
      </c>
      <c r="AC406">
        <f t="shared" si="75"/>
        <v>35</v>
      </c>
      <c r="AD406" t="str">
        <f t="shared" si="68"/>
        <v>West</v>
      </c>
      <c r="AE406" t="str">
        <f t="shared" si="76"/>
        <v>Clean</v>
      </c>
      <c r="AF406" t="str">
        <f t="shared" si="69"/>
        <v>Same Day</v>
      </c>
    </row>
    <row r="407" spans="1:32">
      <c r="A407" t="s">
        <v>4919</v>
      </c>
      <c r="B407" s="4">
        <v>45558</v>
      </c>
      <c r="C407" s="4">
        <v>45559</v>
      </c>
      <c r="D407" t="s">
        <v>4920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M407" t="s">
        <v>4187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  <c r="V407" t="str">
        <f t="shared" si="70"/>
        <v>September</v>
      </c>
      <c r="W407" t="str">
        <f t="shared" si="71"/>
        <v>OK</v>
      </c>
      <c r="X407" t="str">
        <f t="shared" si="72"/>
        <v>OK</v>
      </c>
      <c r="Y407">
        <f t="shared" si="66"/>
        <v>0.1</v>
      </c>
      <c r="Z407">
        <f t="shared" si="67"/>
        <v>1</v>
      </c>
      <c r="AA407">
        <f t="shared" si="73"/>
        <v>6229.1029999999992</v>
      </c>
      <c r="AB407">
        <f t="shared" si="74"/>
        <v>24431.463</v>
      </c>
      <c r="AC407">
        <f t="shared" si="75"/>
        <v>1</v>
      </c>
      <c r="AD407" t="str">
        <f t="shared" si="68"/>
        <v>West</v>
      </c>
      <c r="AE407" t="str">
        <f t="shared" si="76"/>
        <v>Clean</v>
      </c>
      <c r="AF407" s="5" t="str">
        <f t="shared" si="69"/>
        <v>Unknown</v>
      </c>
    </row>
    <row r="408" spans="1:32">
      <c r="A408" t="s">
        <v>4921</v>
      </c>
      <c r="B408" s="4">
        <v>45713</v>
      </c>
      <c r="C408" s="4">
        <v>45713</v>
      </c>
      <c r="D408" t="s">
        <v>4922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  <c r="V408" t="str">
        <f t="shared" si="70"/>
        <v>February</v>
      </c>
      <c r="W408" s="5" t="str">
        <f t="shared" si="71"/>
        <v>Invalid</v>
      </c>
      <c r="X408" t="str">
        <f t="shared" si="72"/>
        <v>OK</v>
      </c>
      <c r="Y408">
        <f t="shared" si="66"/>
        <v>0.25</v>
      </c>
      <c r="Z408">
        <f t="shared" si="67"/>
        <v>1</v>
      </c>
      <c r="AA408">
        <f t="shared" si="73"/>
        <v>2264.5399999999991</v>
      </c>
      <c r="AB408">
        <f t="shared" si="74"/>
        <v>5886.2999999999993</v>
      </c>
      <c r="AC408">
        <f t="shared" si="75"/>
        <v>0</v>
      </c>
      <c r="AD408" t="str">
        <f t="shared" si="68"/>
        <v>West</v>
      </c>
      <c r="AE408" t="str">
        <f t="shared" si="76"/>
        <v>Clean</v>
      </c>
      <c r="AF408" t="str">
        <f t="shared" si="69"/>
        <v>Standard Class</v>
      </c>
    </row>
    <row r="409" spans="1:32">
      <c r="A409" t="s">
        <v>4923</v>
      </c>
      <c r="B409" s="4">
        <v>45631</v>
      </c>
      <c r="C409" s="4">
        <v>45425</v>
      </c>
      <c r="D409" t="s">
        <v>4924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  <c r="V409" t="str">
        <f t="shared" si="70"/>
        <v>May</v>
      </c>
      <c r="W409" s="5" t="str">
        <f t="shared" si="71"/>
        <v>Invalid</v>
      </c>
      <c r="X409" t="str">
        <f t="shared" si="72"/>
        <v>OK</v>
      </c>
      <c r="Y409">
        <f t="shared" si="66"/>
        <v>0</v>
      </c>
      <c r="Z409">
        <f t="shared" si="67"/>
        <v>1</v>
      </c>
      <c r="AA409">
        <f t="shared" si="73"/>
        <v>2235.2300000000005</v>
      </c>
      <c r="AB409">
        <f t="shared" si="74"/>
        <v>7933.6500000000005</v>
      </c>
      <c r="AC409" s="5">
        <f t="shared" si="75"/>
        <v>-206</v>
      </c>
      <c r="AD409" t="str">
        <f t="shared" si="68"/>
        <v>West</v>
      </c>
      <c r="AE409" t="str">
        <f t="shared" si="76"/>
        <v>Invalid</v>
      </c>
      <c r="AF409" t="str">
        <f t="shared" si="69"/>
        <v>Second Class</v>
      </c>
    </row>
    <row r="410" spans="1:32">
      <c r="A410" t="s">
        <v>4925</v>
      </c>
      <c r="B410" s="4">
        <v>45665</v>
      </c>
      <c r="C410" s="4">
        <v>45724</v>
      </c>
      <c r="D410" t="s">
        <v>4926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  <c r="V410" t="str">
        <f t="shared" si="70"/>
        <v>March</v>
      </c>
      <c r="W410" t="str">
        <f t="shared" si="71"/>
        <v>OK</v>
      </c>
      <c r="X410" t="str">
        <f t="shared" si="72"/>
        <v>OK</v>
      </c>
      <c r="Y410">
        <f t="shared" si="66"/>
        <v>0</v>
      </c>
      <c r="Z410">
        <f t="shared" si="67"/>
        <v>1</v>
      </c>
      <c r="AA410">
        <f t="shared" si="73"/>
        <v>2506.3500000000004</v>
      </c>
      <c r="AB410">
        <f t="shared" si="74"/>
        <v>7093.84</v>
      </c>
      <c r="AC410">
        <f t="shared" si="75"/>
        <v>59</v>
      </c>
      <c r="AD410" t="str">
        <f t="shared" si="68"/>
        <v>West</v>
      </c>
      <c r="AE410" t="str">
        <f t="shared" si="76"/>
        <v>Clean</v>
      </c>
      <c r="AF410" t="str">
        <f t="shared" si="69"/>
        <v>First Class</v>
      </c>
    </row>
    <row r="411" spans="1:32">
      <c r="A411" t="s">
        <v>4927</v>
      </c>
      <c r="B411" s="4">
        <v>45701</v>
      </c>
      <c r="C411" s="4">
        <v>45703</v>
      </c>
      <c r="D411" t="s">
        <v>4928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  <c r="V411" t="str">
        <f t="shared" si="70"/>
        <v>February</v>
      </c>
      <c r="W411" t="str">
        <f t="shared" si="71"/>
        <v>OK</v>
      </c>
      <c r="X411" t="str">
        <f t="shared" si="72"/>
        <v>OK</v>
      </c>
      <c r="Y411">
        <f t="shared" si="66"/>
        <v>0.25</v>
      </c>
      <c r="Z411">
        <f t="shared" si="67"/>
        <v>1</v>
      </c>
      <c r="AA411">
        <f t="shared" si="73"/>
        <v>675.50500000000034</v>
      </c>
      <c r="AB411">
        <f t="shared" si="74"/>
        <v>2269.0950000000003</v>
      </c>
      <c r="AC411">
        <f t="shared" si="75"/>
        <v>2</v>
      </c>
      <c r="AD411" t="str">
        <f t="shared" si="68"/>
        <v>East</v>
      </c>
      <c r="AE411" t="str">
        <f t="shared" si="76"/>
        <v>Clean</v>
      </c>
      <c r="AF411" t="str">
        <f t="shared" si="69"/>
        <v>Same Day</v>
      </c>
    </row>
    <row r="412" spans="1:32">
      <c r="A412" t="s">
        <v>4929</v>
      </c>
      <c r="B412" s="4">
        <v>45630</v>
      </c>
      <c r="C412" s="4">
        <v>45402</v>
      </c>
      <c r="D412" t="s">
        <v>4930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  <c r="V412" t="str">
        <f t="shared" si="70"/>
        <v>April</v>
      </c>
      <c r="W412" s="5" t="str">
        <f t="shared" si="71"/>
        <v>Invalid</v>
      </c>
      <c r="X412" t="str">
        <f t="shared" si="72"/>
        <v>OK</v>
      </c>
      <c r="Y412">
        <f t="shared" si="66"/>
        <v>0.2</v>
      </c>
      <c r="Z412">
        <f t="shared" si="67"/>
        <v>1</v>
      </c>
      <c r="AA412">
        <f t="shared" si="73"/>
        <v>2604.3119999999999</v>
      </c>
      <c r="AB412">
        <f t="shared" si="74"/>
        <v>9378.7919999999995</v>
      </c>
      <c r="AC412" s="5">
        <f t="shared" si="75"/>
        <v>-228</v>
      </c>
      <c r="AD412" t="str">
        <f t="shared" si="68"/>
        <v>West</v>
      </c>
      <c r="AE412" t="str">
        <f t="shared" si="76"/>
        <v>Invalid</v>
      </c>
      <c r="AF412" t="str">
        <f t="shared" si="69"/>
        <v>First Class</v>
      </c>
    </row>
    <row r="413" spans="1:32">
      <c r="A413" t="s">
        <v>4931</v>
      </c>
      <c r="B413" s="4">
        <v>45892</v>
      </c>
      <c r="C413" s="4">
        <v>45897</v>
      </c>
      <c r="D413" t="s">
        <v>4932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  <c r="V413" t="str">
        <f t="shared" si="70"/>
        <v>August</v>
      </c>
      <c r="W413" t="str">
        <f t="shared" si="71"/>
        <v>OK</v>
      </c>
      <c r="X413" t="str">
        <f t="shared" si="72"/>
        <v>OK</v>
      </c>
      <c r="Y413">
        <f t="shared" si="66"/>
        <v>0.2</v>
      </c>
      <c r="Z413">
        <f t="shared" si="67"/>
        <v>1</v>
      </c>
      <c r="AA413">
        <f t="shared" si="73"/>
        <v>565.47800000000052</v>
      </c>
      <c r="AB413">
        <f t="shared" si="74"/>
        <v>3334.2480000000005</v>
      </c>
      <c r="AC413">
        <f t="shared" si="75"/>
        <v>5</v>
      </c>
      <c r="AD413" t="str">
        <f t="shared" si="68"/>
        <v>West</v>
      </c>
      <c r="AE413" t="str">
        <f t="shared" si="76"/>
        <v>Clean</v>
      </c>
      <c r="AF413" t="str">
        <f t="shared" si="69"/>
        <v>First Class</v>
      </c>
    </row>
    <row r="414" spans="1:32">
      <c r="A414" t="s">
        <v>4933</v>
      </c>
      <c r="B414" s="4">
        <v>45313</v>
      </c>
      <c r="C414" s="4">
        <v>45321</v>
      </c>
      <c r="D414" t="s">
        <v>4934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  <c r="V414" t="str">
        <f t="shared" si="70"/>
        <v>January</v>
      </c>
      <c r="W414" t="str">
        <f t="shared" si="71"/>
        <v>OK</v>
      </c>
      <c r="X414" t="str">
        <f t="shared" si="72"/>
        <v>OK</v>
      </c>
      <c r="Y414">
        <f t="shared" si="66"/>
        <v>0.25</v>
      </c>
      <c r="Z414">
        <f t="shared" si="67"/>
        <v>1</v>
      </c>
      <c r="AA414">
        <f t="shared" si="73"/>
        <v>569.35249999999996</v>
      </c>
      <c r="AB414">
        <f t="shared" si="74"/>
        <v>1583.5425</v>
      </c>
      <c r="AC414">
        <f t="shared" si="75"/>
        <v>8</v>
      </c>
      <c r="AD414" t="str">
        <f t="shared" si="68"/>
        <v>South</v>
      </c>
      <c r="AE414" t="str">
        <f t="shared" si="76"/>
        <v>Clean</v>
      </c>
      <c r="AF414" t="str">
        <f t="shared" si="69"/>
        <v>Same Day</v>
      </c>
    </row>
    <row r="415" spans="1:32">
      <c r="A415" t="s">
        <v>4935</v>
      </c>
      <c r="B415" s="4">
        <v>45882</v>
      </c>
      <c r="C415" s="4">
        <v>45886</v>
      </c>
      <c r="D415" t="s">
        <v>4936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  <c r="V415" t="str">
        <f t="shared" si="70"/>
        <v>August</v>
      </c>
      <c r="W415" t="str">
        <f t="shared" si="71"/>
        <v>OK</v>
      </c>
      <c r="X415" t="str">
        <f t="shared" si="72"/>
        <v>OK</v>
      </c>
      <c r="Y415">
        <f t="shared" si="66"/>
        <v>0</v>
      </c>
      <c r="Z415">
        <f t="shared" si="67"/>
        <v>1</v>
      </c>
      <c r="AA415">
        <f t="shared" si="73"/>
        <v>4610.51</v>
      </c>
      <c r="AB415">
        <f t="shared" si="74"/>
        <v>15345.84</v>
      </c>
      <c r="AC415">
        <f t="shared" si="75"/>
        <v>4</v>
      </c>
      <c r="AD415" t="str">
        <f t="shared" si="68"/>
        <v>West</v>
      </c>
      <c r="AE415" t="str">
        <f t="shared" si="76"/>
        <v>Clean</v>
      </c>
      <c r="AF415" t="str">
        <f t="shared" si="69"/>
        <v>Second Class</v>
      </c>
    </row>
    <row r="416" spans="1:32">
      <c r="A416" t="s">
        <v>4937</v>
      </c>
      <c r="B416" s="4">
        <v>45533</v>
      </c>
      <c r="C416" s="4">
        <v>45534</v>
      </c>
      <c r="D416" t="s">
        <v>4938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  <c r="V416" t="str">
        <f t="shared" si="70"/>
        <v>August</v>
      </c>
      <c r="W416" t="str">
        <f t="shared" si="71"/>
        <v>OK</v>
      </c>
      <c r="X416" t="str">
        <f t="shared" si="72"/>
        <v>OK</v>
      </c>
      <c r="Y416">
        <f t="shared" si="66"/>
        <v>0.05</v>
      </c>
      <c r="Z416">
        <f t="shared" si="67"/>
        <v>1</v>
      </c>
      <c r="AA416">
        <f t="shared" si="73"/>
        <v>3920.1139999999987</v>
      </c>
      <c r="AB416">
        <f t="shared" si="74"/>
        <v>9439.503999999999</v>
      </c>
      <c r="AC416">
        <f t="shared" si="75"/>
        <v>1</v>
      </c>
      <c r="AD416" t="str">
        <f t="shared" si="68"/>
        <v>East</v>
      </c>
      <c r="AE416" t="str">
        <f t="shared" si="76"/>
        <v>Clean</v>
      </c>
      <c r="AF416" t="str">
        <f t="shared" si="69"/>
        <v>First Class</v>
      </c>
    </row>
    <row r="417" spans="1:32">
      <c r="A417" t="s">
        <v>4939</v>
      </c>
      <c r="B417" s="4">
        <v>45316</v>
      </c>
      <c r="C417" s="4">
        <v>45318</v>
      </c>
      <c r="D417" t="s">
        <v>4940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  <c r="V417" t="str">
        <f t="shared" si="70"/>
        <v>January</v>
      </c>
      <c r="W417" t="str">
        <f t="shared" si="71"/>
        <v>OK</v>
      </c>
      <c r="X417" t="str">
        <f t="shared" si="72"/>
        <v>OK</v>
      </c>
      <c r="Y417">
        <f t="shared" si="66"/>
        <v>0.15</v>
      </c>
      <c r="Z417">
        <f t="shared" si="67"/>
        <v>1</v>
      </c>
      <c r="AA417">
        <f t="shared" si="73"/>
        <v>2370.6970000000001</v>
      </c>
      <c r="AB417">
        <f t="shared" si="74"/>
        <v>10277.197</v>
      </c>
      <c r="AC417">
        <f t="shared" si="75"/>
        <v>2</v>
      </c>
      <c r="AD417" t="str">
        <f t="shared" si="68"/>
        <v>South</v>
      </c>
      <c r="AE417" t="str">
        <f t="shared" si="76"/>
        <v>Clean</v>
      </c>
      <c r="AF417" t="str">
        <f t="shared" si="69"/>
        <v>Same Day</v>
      </c>
    </row>
    <row r="418" spans="1:32">
      <c r="A418" t="s">
        <v>4941</v>
      </c>
      <c r="B418" s="4">
        <v>45870</v>
      </c>
      <c r="C418" s="4">
        <v>45673</v>
      </c>
      <c r="D418" t="s">
        <v>4942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  <c r="V418" t="str">
        <f t="shared" si="70"/>
        <v>January</v>
      </c>
      <c r="W418" s="5" t="str">
        <f t="shared" si="71"/>
        <v>Invalid</v>
      </c>
      <c r="X418" t="str">
        <f t="shared" si="72"/>
        <v>OK</v>
      </c>
      <c r="Y418">
        <f t="shared" si="66"/>
        <v>0.25</v>
      </c>
      <c r="Z418">
        <f t="shared" si="67"/>
        <v>1</v>
      </c>
      <c r="AA418">
        <f t="shared" si="73"/>
        <v>947.35000000000036</v>
      </c>
      <c r="AB418">
        <f t="shared" si="74"/>
        <v>3833.7000000000003</v>
      </c>
      <c r="AC418" s="5">
        <f t="shared" si="75"/>
        <v>-197</v>
      </c>
      <c r="AD418" t="str">
        <f t="shared" si="68"/>
        <v>South</v>
      </c>
      <c r="AE418" t="str">
        <f t="shared" si="76"/>
        <v>Invalid</v>
      </c>
      <c r="AF418" t="str">
        <f t="shared" si="69"/>
        <v>First Class</v>
      </c>
    </row>
    <row r="419" spans="1:32">
      <c r="A419" t="s">
        <v>4943</v>
      </c>
      <c r="B419" s="4">
        <v>45686</v>
      </c>
      <c r="C419" s="4">
        <v>45779</v>
      </c>
      <c r="D419" t="s">
        <v>4944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  <c r="V419" t="str">
        <f t="shared" si="70"/>
        <v>May</v>
      </c>
      <c r="W419" t="str">
        <f t="shared" si="71"/>
        <v>OK</v>
      </c>
      <c r="X419" t="str">
        <f t="shared" si="72"/>
        <v>OK</v>
      </c>
      <c r="Y419">
        <f t="shared" si="66"/>
        <v>0.2</v>
      </c>
      <c r="Z419">
        <f t="shared" si="67"/>
        <v>1</v>
      </c>
      <c r="AA419">
        <f t="shared" si="73"/>
        <v>7348.6500000000015</v>
      </c>
      <c r="AB419">
        <f t="shared" si="74"/>
        <v>18542.400000000001</v>
      </c>
      <c r="AC419">
        <f t="shared" si="75"/>
        <v>93</v>
      </c>
      <c r="AD419" t="str">
        <f t="shared" si="68"/>
        <v>West</v>
      </c>
      <c r="AE419" t="str">
        <f t="shared" si="76"/>
        <v>Clean</v>
      </c>
      <c r="AF419" t="str">
        <f t="shared" si="69"/>
        <v>First Class</v>
      </c>
    </row>
    <row r="420" spans="1:32">
      <c r="A420" t="s">
        <v>4945</v>
      </c>
      <c r="B420" s="4">
        <v>45546</v>
      </c>
      <c r="C420" s="4">
        <v>45613</v>
      </c>
      <c r="D420" t="s">
        <v>4946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  <c r="V420" t="str">
        <f t="shared" si="70"/>
        <v>November</v>
      </c>
      <c r="W420" t="str">
        <f t="shared" si="71"/>
        <v>OK</v>
      </c>
      <c r="X420" t="str">
        <f t="shared" si="72"/>
        <v>OK</v>
      </c>
      <c r="Y420">
        <f t="shared" si="66"/>
        <v>0</v>
      </c>
      <c r="Z420">
        <f t="shared" si="67"/>
        <v>1</v>
      </c>
      <c r="AA420">
        <f t="shared" si="73"/>
        <v>6630.4100000000017</v>
      </c>
      <c r="AB420">
        <f t="shared" si="74"/>
        <v>21962.400000000001</v>
      </c>
      <c r="AC420">
        <f t="shared" si="75"/>
        <v>67</v>
      </c>
      <c r="AD420" t="str">
        <f t="shared" si="68"/>
        <v>East</v>
      </c>
      <c r="AE420" t="str">
        <f t="shared" si="76"/>
        <v>Clean</v>
      </c>
      <c r="AF420" t="str">
        <f t="shared" si="69"/>
        <v>Standard Class</v>
      </c>
    </row>
    <row r="421" spans="1:32">
      <c r="A421" t="s">
        <v>4947</v>
      </c>
      <c r="B421" s="4">
        <v>45926</v>
      </c>
      <c r="C421" s="4">
        <v>45930</v>
      </c>
      <c r="D421" t="s">
        <v>4948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  <c r="V421" t="str">
        <f t="shared" si="70"/>
        <v>September</v>
      </c>
      <c r="W421" t="str">
        <f t="shared" si="71"/>
        <v>OK</v>
      </c>
      <c r="X421" t="str">
        <f t="shared" si="72"/>
        <v>OK</v>
      </c>
      <c r="Y421">
        <f t="shared" si="66"/>
        <v>0.05</v>
      </c>
      <c r="Z421">
        <f t="shared" si="67"/>
        <v>1</v>
      </c>
      <c r="AA421">
        <f t="shared" si="73"/>
        <v>465.77700000000004</v>
      </c>
      <c r="AB421">
        <f t="shared" si="74"/>
        <v>1308.777</v>
      </c>
      <c r="AC421">
        <f t="shared" si="75"/>
        <v>4</v>
      </c>
      <c r="AD421" t="str">
        <f t="shared" si="68"/>
        <v>North</v>
      </c>
      <c r="AE421" t="str">
        <f t="shared" si="76"/>
        <v>Clean</v>
      </c>
      <c r="AF421" t="str">
        <f t="shared" si="69"/>
        <v>Same Day</v>
      </c>
    </row>
    <row r="422" spans="1:32">
      <c r="A422" t="s">
        <v>4949</v>
      </c>
      <c r="B422" s="4">
        <v>45734</v>
      </c>
      <c r="C422" s="4">
        <v>45735</v>
      </c>
      <c r="D422" t="s">
        <v>4950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  <c r="V422" t="str">
        <f t="shared" si="70"/>
        <v>March</v>
      </c>
      <c r="W422" t="str">
        <f t="shared" si="71"/>
        <v>OK</v>
      </c>
      <c r="X422" t="str">
        <f t="shared" si="72"/>
        <v>OK</v>
      </c>
      <c r="Y422">
        <f t="shared" si="66"/>
        <v>0.25</v>
      </c>
      <c r="Z422">
        <f t="shared" si="67"/>
        <v>1</v>
      </c>
      <c r="AA422">
        <f t="shared" si="73"/>
        <v>694.92500000000018</v>
      </c>
      <c r="AB422">
        <f t="shared" si="74"/>
        <v>1814.9850000000001</v>
      </c>
      <c r="AC422">
        <f t="shared" si="75"/>
        <v>1</v>
      </c>
      <c r="AD422" t="str">
        <f t="shared" si="68"/>
        <v>South</v>
      </c>
      <c r="AE422" t="str">
        <f t="shared" si="76"/>
        <v>Clean</v>
      </c>
      <c r="AF422" t="str">
        <f t="shared" si="69"/>
        <v>Standard Class</v>
      </c>
    </row>
    <row r="423" spans="1:32">
      <c r="A423" t="s">
        <v>4951</v>
      </c>
      <c r="B423" s="4">
        <v>45822</v>
      </c>
      <c r="C423" s="4">
        <v>45827</v>
      </c>
      <c r="D423" t="s">
        <v>4952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  <c r="V423" t="str">
        <f t="shared" si="70"/>
        <v>June</v>
      </c>
      <c r="W423" t="str">
        <f t="shared" si="71"/>
        <v>OK</v>
      </c>
      <c r="X423" t="str">
        <f t="shared" si="72"/>
        <v>OK</v>
      </c>
      <c r="Y423">
        <f t="shared" si="66"/>
        <v>0.2</v>
      </c>
      <c r="Z423">
        <f t="shared" si="67"/>
        <v>1</v>
      </c>
      <c r="AA423">
        <f t="shared" si="73"/>
        <v>782.36000000000058</v>
      </c>
      <c r="AB423">
        <f t="shared" si="74"/>
        <v>2489.8800000000006</v>
      </c>
      <c r="AC423">
        <f t="shared" si="75"/>
        <v>5</v>
      </c>
      <c r="AD423" t="str">
        <f t="shared" si="68"/>
        <v>North</v>
      </c>
      <c r="AE423" t="str">
        <f t="shared" si="76"/>
        <v>Clean</v>
      </c>
      <c r="AF423" t="str">
        <f t="shared" si="69"/>
        <v>Same Day</v>
      </c>
    </row>
    <row r="424" spans="1:32">
      <c r="A424" t="s">
        <v>4953</v>
      </c>
      <c r="B424" s="4">
        <v>45725</v>
      </c>
      <c r="C424" s="4">
        <v>45906</v>
      </c>
      <c r="D424" t="s">
        <v>4954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  <c r="V424" t="str">
        <f t="shared" si="70"/>
        <v>September</v>
      </c>
      <c r="W424" t="str">
        <f t="shared" si="71"/>
        <v>OK</v>
      </c>
      <c r="X424" t="str">
        <f t="shared" si="72"/>
        <v>OK</v>
      </c>
      <c r="Y424">
        <f t="shared" si="66"/>
        <v>0.15</v>
      </c>
      <c r="Z424">
        <f t="shared" si="67"/>
        <v>1</v>
      </c>
      <c r="AA424">
        <f t="shared" si="73"/>
        <v>1420.5974999999994</v>
      </c>
      <c r="AB424">
        <f t="shared" si="74"/>
        <v>4098.6574999999993</v>
      </c>
      <c r="AC424">
        <f t="shared" si="75"/>
        <v>181</v>
      </c>
      <c r="AD424" t="str">
        <f t="shared" si="68"/>
        <v>West</v>
      </c>
      <c r="AE424" t="str">
        <f t="shared" si="76"/>
        <v>Clean</v>
      </c>
      <c r="AF424" t="str">
        <f t="shared" si="69"/>
        <v>Same Day</v>
      </c>
    </row>
    <row r="425" spans="1:32">
      <c r="A425" t="s">
        <v>4955</v>
      </c>
      <c r="B425" s="4">
        <v>45342</v>
      </c>
      <c r="C425" s="4">
        <v>45349</v>
      </c>
      <c r="D425" t="s">
        <v>4956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56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s="6" t="s">
        <v>35</v>
      </c>
      <c r="V425" t="str">
        <f t="shared" si="70"/>
        <v>February</v>
      </c>
      <c r="W425" t="str">
        <f t="shared" si="71"/>
        <v>OK</v>
      </c>
      <c r="X425" t="str">
        <f t="shared" si="72"/>
        <v>OK</v>
      </c>
      <c r="Y425">
        <f t="shared" si="66"/>
        <v>0.2</v>
      </c>
      <c r="Z425" s="5">
        <f t="shared" si="67"/>
        <v>2</v>
      </c>
      <c r="AA425">
        <f t="shared" si="73"/>
        <v>9270.6020000000026</v>
      </c>
      <c r="AB425">
        <f t="shared" si="74"/>
        <v>27211.032000000003</v>
      </c>
      <c r="AC425">
        <f t="shared" si="75"/>
        <v>7</v>
      </c>
      <c r="AD425" t="str">
        <f t="shared" si="68"/>
        <v>South</v>
      </c>
      <c r="AE425" t="str">
        <f t="shared" si="76"/>
        <v>Clean</v>
      </c>
      <c r="AF425" t="str">
        <f t="shared" si="69"/>
        <v>First Class</v>
      </c>
    </row>
    <row r="426" spans="1:32">
      <c r="A426" t="s">
        <v>4957</v>
      </c>
      <c r="B426" s="4">
        <v>45469</v>
      </c>
      <c r="C426" s="4">
        <v>45472</v>
      </c>
      <c r="D426" t="s">
        <v>4958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  <c r="V426" t="str">
        <f t="shared" si="70"/>
        <v>June</v>
      </c>
      <c r="W426" t="str">
        <f t="shared" si="71"/>
        <v>OK</v>
      </c>
      <c r="X426" t="str">
        <f t="shared" si="72"/>
        <v>OK</v>
      </c>
      <c r="Y426">
        <f t="shared" si="66"/>
        <v>0</v>
      </c>
      <c r="Z426">
        <f t="shared" si="67"/>
        <v>1</v>
      </c>
      <c r="AA426">
        <f t="shared" si="73"/>
        <v>2172.33</v>
      </c>
      <c r="AB426">
        <f t="shared" si="74"/>
        <v>6436.16</v>
      </c>
      <c r="AC426">
        <f t="shared" si="75"/>
        <v>3</v>
      </c>
      <c r="AD426" t="str">
        <f t="shared" si="68"/>
        <v>North</v>
      </c>
      <c r="AE426" t="str">
        <f t="shared" si="76"/>
        <v>Clean</v>
      </c>
      <c r="AF426" t="str">
        <f t="shared" si="69"/>
        <v>Standard Class</v>
      </c>
    </row>
    <row r="427" spans="1:32">
      <c r="A427" t="s">
        <v>4959</v>
      </c>
      <c r="B427" s="4">
        <v>45561</v>
      </c>
      <c r="C427" s="4">
        <v>45562</v>
      </c>
      <c r="D427" t="s">
        <v>4960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  <c r="V427" t="str">
        <f t="shared" si="70"/>
        <v>September</v>
      </c>
      <c r="W427" t="str">
        <f t="shared" si="71"/>
        <v>OK</v>
      </c>
      <c r="X427" t="str">
        <f t="shared" si="72"/>
        <v>OK</v>
      </c>
      <c r="Y427">
        <f t="shared" si="66"/>
        <v>0.1</v>
      </c>
      <c r="Z427">
        <f t="shared" si="67"/>
        <v>1</v>
      </c>
      <c r="AA427">
        <f t="shared" si="73"/>
        <v>544.72200000000021</v>
      </c>
      <c r="AB427">
        <f t="shared" si="74"/>
        <v>1918.2420000000002</v>
      </c>
      <c r="AC427">
        <f t="shared" si="75"/>
        <v>1</v>
      </c>
      <c r="AD427" t="str">
        <f t="shared" si="68"/>
        <v>North</v>
      </c>
      <c r="AE427" t="str">
        <f t="shared" si="76"/>
        <v>Clean</v>
      </c>
      <c r="AF427" t="str">
        <f t="shared" si="69"/>
        <v>First Class</v>
      </c>
    </row>
    <row r="428" spans="1:32">
      <c r="A428" t="s">
        <v>4961</v>
      </c>
      <c r="B428" s="4">
        <v>45473</v>
      </c>
      <c r="C428" s="4">
        <v>45474</v>
      </c>
      <c r="D428" t="s">
        <v>4962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  <c r="V428" t="str">
        <f t="shared" si="70"/>
        <v>July</v>
      </c>
      <c r="W428" t="str">
        <f t="shared" si="71"/>
        <v>OK</v>
      </c>
      <c r="X428" t="str">
        <f t="shared" si="72"/>
        <v>OK</v>
      </c>
      <c r="Y428">
        <f t="shared" si="66"/>
        <v>0.1</v>
      </c>
      <c r="Z428">
        <f t="shared" si="67"/>
        <v>1</v>
      </c>
      <c r="AA428">
        <f t="shared" si="73"/>
        <v>8616.6219999999994</v>
      </c>
      <c r="AB428">
        <f t="shared" si="74"/>
        <v>27047.952000000001</v>
      </c>
      <c r="AC428">
        <f t="shared" si="75"/>
        <v>1</v>
      </c>
      <c r="AD428" t="str">
        <f t="shared" si="68"/>
        <v>North</v>
      </c>
      <c r="AE428" t="str">
        <f t="shared" si="76"/>
        <v>Clean</v>
      </c>
      <c r="AF428" t="str">
        <f t="shared" si="69"/>
        <v>Same Day</v>
      </c>
    </row>
    <row r="429" spans="1:32">
      <c r="A429" t="s">
        <v>4963</v>
      </c>
      <c r="B429" s="4">
        <v>45769</v>
      </c>
      <c r="C429" s="4">
        <v>45771</v>
      </c>
      <c r="D429" t="s">
        <v>4964</v>
      </c>
      <c r="E429" t="s">
        <v>53</v>
      </c>
      <c r="F429" t="s">
        <v>108</v>
      </c>
      <c r="G429" t="s">
        <v>4187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67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  <c r="V429" t="str">
        <f t="shared" si="70"/>
        <v>April</v>
      </c>
      <c r="W429" t="str">
        <f t="shared" si="71"/>
        <v>OK</v>
      </c>
      <c r="X429" t="str">
        <f t="shared" si="72"/>
        <v>OK</v>
      </c>
      <c r="Y429">
        <f t="shared" si="66"/>
        <v>0</v>
      </c>
      <c r="Z429">
        <f t="shared" si="67"/>
        <v>1</v>
      </c>
      <c r="AA429">
        <f t="shared" si="73"/>
        <v>8824.7099999999991</v>
      </c>
      <c r="AB429">
        <f t="shared" si="74"/>
        <v>26454.959999999999</v>
      </c>
      <c r="AC429">
        <f t="shared" si="75"/>
        <v>2</v>
      </c>
      <c r="AD429" s="5" t="str">
        <f t="shared" si="68"/>
        <v>Unknown</v>
      </c>
      <c r="AE429" t="str">
        <f t="shared" si="76"/>
        <v>Clean</v>
      </c>
      <c r="AF429" t="str">
        <f t="shared" si="69"/>
        <v>Standard Class</v>
      </c>
    </row>
    <row r="430" spans="1:32">
      <c r="A430" t="s">
        <v>4965</v>
      </c>
      <c r="B430" s="4">
        <v>45731</v>
      </c>
      <c r="C430" s="4">
        <v>45738</v>
      </c>
      <c r="D430" t="s">
        <v>4966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  <c r="V430" t="str">
        <f t="shared" si="70"/>
        <v>March</v>
      </c>
      <c r="W430" t="str">
        <f t="shared" si="71"/>
        <v>OK</v>
      </c>
      <c r="X430" t="str">
        <f t="shared" si="72"/>
        <v>OK</v>
      </c>
      <c r="Y430">
        <f t="shared" si="66"/>
        <v>0.25</v>
      </c>
      <c r="Z430">
        <f t="shared" si="67"/>
        <v>1</v>
      </c>
      <c r="AA430">
        <f t="shared" si="73"/>
        <v>752.66499999999996</v>
      </c>
      <c r="AB430">
        <f t="shared" si="74"/>
        <v>1853.895</v>
      </c>
      <c r="AC430">
        <f t="shared" si="75"/>
        <v>7</v>
      </c>
      <c r="AD430" t="str">
        <f t="shared" si="68"/>
        <v>East</v>
      </c>
      <c r="AE430" t="str">
        <f t="shared" si="76"/>
        <v>Clean</v>
      </c>
      <c r="AF430" t="str">
        <f t="shared" si="69"/>
        <v>Same Day</v>
      </c>
    </row>
    <row r="431" spans="1:32">
      <c r="A431" t="s">
        <v>4967</v>
      </c>
      <c r="B431" s="4">
        <v>45660</v>
      </c>
      <c r="C431" s="4">
        <v>45724</v>
      </c>
      <c r="D431" t="s">
        <v>4968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  <c r="V431" t="str">
        <f t="shared" si="70"/>
        <v>March</v>
      </c>
      <c r="W431" t="str">
        <f t="shared" si="71"/>
        <v>OK</v>
      </c>
      <c r="X431" t="str">
        <f t="shared" si="72"/>
        <v>OK</v>
      </c>
      <c r="Y431">
        <f t="shared" si="66"/>
        <v>0.25</v>
      </c>
      <c r="Z431">
        <f t="shared" si="67"/>
        <v>1</v>
      </c>
      <c r="AA431">
        <f t="shared" si="73"/>
        <v>3816.119999999999</v>
      </c>
      <c r="AB431">
        <f t="shared" si="74"/>
        <v>17658.599999999999</v>
      </c>
      <c r="AC431">
        <f t="shared" si="75"/>
        <v>64</v>
      </c>
      <c r="AD431" t="str">
        <f t="shared" si="68"/>
        <v>North</v>
      </c>
      <c r="AE431" t="str">
        <f t="shared" si="76"/>
        <v>Clean</v>
      </c>
      <c r="AF431" t="str">
        <f t="shared" si="69"/>
        <v>Same Day</v>
      </c>
    </row>
    <row r="432" spans="1:32">
      <c r="A432" t="s">
        <v>4969</v>
      </c>
      <c r="B432" s="4">
        <v>45534</v>
      </c>
      <c r="C432" s="4">
        <v>45537</v>
      </c>
      <c r="D432" t="s">
        <v>4970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  <c r="V432" t="str">
        <f t="shared" si="70"/>
        <v>September</v>
      </c>
      <c r="W432" t="str">
        <f t="shared" si="71"/>
        <v>OK</v>
      </c>
      <c r="X432" t="str">
        <f t="shared" si="72"/>
        <v>OK</v>
      </c>
      <c r="Y432">
        <f t="shared" si="66"/>
        <v>0.15</v>
      </c>
      <c r="Z432">
        <f t="shared" si="67"/>
        <v>1</v>
      </c>
      <c r="AA432">
        <f t="shared" si="73"/>
        <v>958.48399999999992</v>
      </c>
      <c r="AB432">
        <f t="shared" si="74"/>
        <v>3672.7139999999999</v>
      </c>
      <c r="AC432">
        <f t="shared" si="75"/>
        <v>3</v>
      </c>
      <c r="AD432" t="str">
        <f t="shared" si="68"/>
        <v>North</v>
      </c>
      <c r="AE432" t="str">
        <f t="shared" si="76"/>
        <v>Clean</v>
      </c>
      <c r="AF432" t="str">
        <f t="shared" si="69"/>
        <v>Second Class</v>
      </c>
    </row>
    <row r="433" spans="1:32">
      <c r="A433" t="s">
        <v>4971</v>
      </c>
      <c r="B433" s="4">
        <v>45567</v>
      </c>
      <c r="C433" s="4">
        <v>45335</v>
      </c>
      <c r="D433" t="s">
        <v>4972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  <c r="V433" t="str">
        <f t="shared" si="70"/>
        <v>February</v>
      </c>
      <c r="W433" s="5" t="str">
        <f t="shared" si="71"/>
        <v>Invalid</v>
      </c>
      <c r="X433" t="str">
        <f t="shared" si="72"/>
        <v>OK</v>
      </c>
      <c r="Y433">
        <f t="shared" si="66"/>
        <v>0.25</v>
      </c>
      <c r="Z433">
        <f t="shared" si="67"/>
        <v>1</v>
      </c>
      <c r="AA433">
        <f t="shared" si="73"/>
        <v>1656.9249999999993</v>
      </c>
      <c r="AB433">
        <f t="shared" si="74"/>
        <v>6177.6749999999993</v>
      </c>
      <c r="AC433" s="5">
        <f t="shared" si="75"/>
        <v>-232</v>
      </c>
      <c r="AD433" t="str">
        <f t="shared" si="68"/>
        <v>West</v>
      </c>
      <c r="AE433" t="str">
        <f t="shared" si="76"/>
        <v>Invalid</v>
      </c>
      <c r="AF433" t="str">
        <f t="shared" si="69"/>
        <v>Same Day</v>
      </c>
    </row>
    <row r="434" spans="1:32">
      <c r="A434" t="s">
        <v>4973</v>
      </c>
      <c r="B434" s="4">
        <v>45533</v>
      </c>
      <c r="C434" s="4">
        <v>45537</v>
      </c>
      <c r="D434" t="s">
        <v>4974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  <c r="V434" t="str">
        <f t="shared" si="70"/>
        <v>September</v>
      </c>
      <c r="W434" t="str">
        <f t="shared" si="71"/>
        <v>OK</v>
      </c>
      <c r="X434" t="str">
        <f t="shared" si="72"/>
        <v>OK</v>
      </c>
      <c r="Y434">
        <f t="shared" si="66"/>
        <v>0.05</v>
      </c>
      <c r="Z434">
        <f t="shared" si="67"/>
        <v>1</v>
      </c>
      <c r="AA434">
        <f t="shared" si="73"/>
        <v>140.59400000000005</v>
      </c>
      <c r="AB434">
        <f t="shared" si="74"/>
        <v>985.07400000000007</v>
      </c>
      <c r="AC434">
        <f t="shared" si="75"/>
        <v>4</v>
      </c>
      <c r="AD434" t="str">
        <f t="shared" si="68"/>
        <v>West</v>
      </c>
      <c r="AE434" t="str">
        <f t="shared" si="76"/>
        <v>Clean</v>
      </c>
      <c r="AF434" t="str">
        <f t="shared" si="69"/>
        <v>Standard Class</v>
      </c>
    </row>
    <row r="435" spans="1:32">
      <c r="A435" t="s">
        <v>4975</v>
      </c>
      <c r="B435" s="4">
        <v>45401</v>
      </c>
      <c r="C435" s="4">
        <v>45402</v>
      </c>
      <c r="D435" t="s">
        <v>4976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  <c r="V435" t="str">
        <f t="shared" si="70"/>
        <v>April</v>
      </c>
      <c r="W435" t="str">
        <f t="shared" si="71"/>
        <v>OK</v>
      </c>
      <c r="X435" t="str">
        <f t="shared" si="72"/>
        <v>OK</v>
      </c>
      <c r="Y435">
        <f t="shared" si="66"/>
        <v>0</v>
      </c>
      <c r="Z435">
        <f t="shared" si="67"/>
        <v>1</v>
      </c>
      <c r="AA435">
        <f t="shared" si="73"/>
        <v>1222.1800000000003</v>
      </c>
      <c r="AB435">
        <f t="shared" si="74"/>
        <v>6160.88</v>
      </c>
      <c r="AC435">
        <f t="shared" si="75"/>
        <v>1</v>
      </c>
      <c r="AD435" t="str">
        <f t="shared" si="68"/>
        <v>South</v>
      </c>
      <c r="AE435" t="str">
        <f t="shared" si="76"/>
        <v>Clean</v>
      </c>
      <c r="AF435" t="str">
        <f t="shared" si="69"/>
        <v>Second Class</v>
      </c>
    </row>
    <row r="436" spans="1:32">
      <c r="A436" t="s">
        <v>4977</v>
      </c>
      <c r="B436" s="4">
        <v>45965</v>
      </c>
      <c r="C436" s="4">
        <v>45762</v>
      </c>
      <c r="D436" t="s">
        <v>4978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  <c r="V436" t="str">
        <f t="shared" si="70"/>
        <v>April</v>
      </c>
      <c r="W436" s="5" t="str">
        <f t="shared" si="71"/>
        <v>Invalid</v>
      </c>
      <c r="X436" t="str">
        <f t="shared" si="72"/>
        <v>OK</v>
      </c>
      <c r="Y436">
        <f t="shared" si="66"/>
        <v>0</v>
      </c>
      <c r="Z436">
        <f t="shared" si="67"/>
        <v>1</v>
      </c>
      <c r="AA436">
        <f t="shared" si="73"/>
        <v>1195.4599999999996</v>
      </c>
      <c r="AB436">
        <f t="shared" si="74"/>
        <v>3263.8999999999996</v>
      </c>
      <c r="AC436" s="5">
        <f t="shared" si="75"/>
        <v>-203</v>
      </c>
      <c r="AD436" t="str">
        <f t="shared" si="68"/>
        <v>North</v>
      </c>
      <c r="AE436" t="str">
        <f t="shared" si="76"/>
        <v>Invalid</v>
      </c>
      <c r="AF436" t="str">
        <f t="shared" si="69"/>
        <v>Second Class</v>
      </c>
    </row>
    <row r="437" spans="1:32">
      <c r="A437" t="s">
        <v>4979</v>
      </c>
      <c r="B437" s="4">
        <v>45995</v>
      </c>
      <c r="C437" s="4">
        <v>45767</v>
      </c>
      <c r="D437" t="s">
        <v>4980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  <c r="V437" t="str">
        <f t="shared" si="70"/>
        <v>April</v>
      </c>
      <c r="W437" s="5" t="str">
        <f t="shared" si="71"/>
        <v>Invalid</v>
      </c>
      <c r="X437" t="str">
        <f t="shared" si="72"/>
        <v>OK</v>
      </c>
      <c r="Y437">
        <f t="shared" si="66"/>
        <v>0.15</v>
      </c>
      <c r="Z437">
        <f t="shared" si="67"/>
        <v>1</v>
      </c>
      <c r="AA437">
        <f t="shared" si="73"/>
        <v>407.63349999999991</v>
      </c>
      <c r="AB437">
        <f t="shared" si="74"/>
        <v>2327.0535</v>
      </c>
      <c r="AC437" s="5">
        <f t="shared" si="75"/>
        <v>-228</v>
      </c>
      <c r="AD437" t="str">
        <f t="shared" si="68"/>
        <v>North</v>
      </c>
      <c r="AE437" t="str">
        <f t="shared" si="76"/>
        <v>Invalid</v>
      </c>
      <c r="AF437" t="str">
        <f t="shared" si="69"/>
        <v>Standard Class</v>
      </c>
    </row>
    <row r="438" spans="1:32">
      <c r="A438" t="s">
        <v>4981</v>
      </c>
      <c r="B438" s="4">
        <v>45459</v>
      </c>
      <c r="C438" s="4">
        <v>45464</v>
      </c>
      <c r="D438" t="s">
        <v>4982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  <c r="V438" t="str">
        <f t="shared" si="70"/>
        <v>June</v>
      </c>
      <c r="W438" t="str">
        <f t="shared" si="71"/>
        <v>OK</v>
      </c>
      <c r="X438" t="str">
        <f t="shared" si="72"/>
        <v>OK</v>
      </c>
      <c r="Y438">
        <f t="shared" si="66"/>
        <v>0.05</v>
      </c>
      <c r="Z438">
        <f t="shared" si="67"/>
        <v>1</v>
      </c>
      <c r="AA438">
        <f t="shared" si="73"/>
        <v>2234.2559999999994</v>
      </c>
      <c r="AB438">
        <f t="shared" si="74"/>
        <v>6593.6459999999997</v>
      </c>
      <c r="AC438">
        <f t="shared" si="75"/>
        <v>5</v>
      </c>
      <c r="AD438" t="str">
        <f t="shared" si="68"/>
        <v>South</v>
      </c>
      <c r="AE438" t="str">
        <f t="shared" si="76"/>
        <v>Clean</v>
      </c>
      <c r="AF438" t="str">
        <f t="shared" si="69"/>
        <v>Same Day</v>
      </c>
    </row>
    <row r="439" spans="1:32">
      <c r="A439" t="s">
        <v>4983</v>
      </c>
      <c r="B439" s="4">
        <v>45337</v>
      </c>
      <c r="C439" s="4">
        <v>45340</v>
      </c>
      <c r="D439" t="s">
        <v>4984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  <c r="V439" t="str">
        <f t="shared" si="70"/>
        <v>February</v>
      </c>
      <c r="W439" t="str">
        <f t="shared" si="71"/>
        <v>OK</v>
      </c>
      <c r="X439" t="str">
        <f t="shared" si="72"/>
        <v>OK</v>
      </c>
      <c r="Y439">
        <f t="shared" si="66"/>
        <v>0.05</v>
      </c>
      <c r="Z439">
        <f t="shared" si="67"/>
        <v>1</v>
      </c>
      <c r="AA439">
        <f t="shared" si="73"/>
        <v>1298.4019999999996</v>
      </c>
      <c r="AB439">
        <f t="shared" si="74"/>
        <v>2886.6319999999996</v>
      </c>
      <c r="AC439">
        <f t="shared" si="75"/>
        <v>3</v>
      </c>
      <c r="AD439" t="str">
        <f t="shared" si="68"/>
        <v>South</v>
      </c>
      <c r="AE439" t="str">
        <f t="shared" si="76"/>
        <v>Clean</v>
      </c>
      <c r="AF439" t="str">
        <f t="shared" si="69"/>
        <v>Same Day</v>
      </c>
    </row>
    <row r="440" spans="1:32">
      <c r="A440" t="s">
        <v>4985</v>
      </c>
      <c r="B440" s="4">
        <v>45843</v>
      </c>
      <c r="C440" s="4">
        <v>45782</v>
      </c>
      <c r="D440" t="s">
        <v>4986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  <c r="V440" t="str">
        <f t="shared" si="70"/>
        <v>May</v>
      </c>
      <c r="W440" s="5" t="str">
        <f t="shared" si="71"/>
        <v>Invalid</v>
      </c>
      <c r="X440" t="str">
        <f t="shared" si="72"/>
        <v>OK</v>
      </c>
      <c r="Y440">
        <f t="shared" si="66"/>
        <v>0.2</v>
      </c>
      <c r="Z440">
        <f t="shared" si="67"/>
        <v>1</v>
      </c>
      <c r="AA440">
        <f t="shared" si="73"/>
        <v>449.53599999999983</v>
      </c>
      <c r="AB440">
        <f t="shared" si="74"/>
        <v>1813.1759999999999</v>
      </c>
      <c r="AC440" s="5">
        <f t="shared" si="75"/>
        <v>-61</v>
      </c>
      <c r="AD440" t="str">
        <f t="shared" si="68"/>
        <v>East</v>
      </c>
      <c r="AE440" t="str">
        <f t="shared" si="76"/>
        <v>Invalid</v>
      </c>
      <c r="AF440" t="str">
        <f t="shared" si="69"/>
        <v>Standard Class</v>
      </c>
    </row>
    <row r="441" spans="1:32">
      <c r="A441" t="s">
        <v>4987</v>
      </c>
      <c r="B441" s="4">
        <v>45838</v>
      </c>
      <c r="C441" s="4">
        <v>45841</v>
      </c>
      <c r="D441" t="s">
        <v>4988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  <c r="V441" t="str">
        <f t="shared" si="70"/>
        <v>July</v>
      </c>
      <c r="W441" t="str">
        <f t="shared" si="71"/>
        <v>OK</v>
      </c>
      <c r="X441" t="str">
        <f t="shared" si="72"/>
        <v>OK</v>
      </c>
      <c r="Y441">
        <f t="shared" si="66"/>
        <v>0</v>
      </c>
      <c r="Z441">
        <f t="shared" si="67"/>
        <v>1</v>
      </c>
      <c r="AA441">
        <f t="shared" si="73"/>
        <v>636.88999999999987</v>
      </c>
      <c r="AB441">
        <f t="shared" si="74"/>
        <v>3326.25</v>
      </c>
      <c r="AC441">
        <f t="shared" si="75"/>
        <v>3</v>
      </c>
      <c r="AD441" t="str">
        <f t="shared" si="68"/>
        <v>West</v>
      </c>
      <c r="AE441" t="str">
        <f t="shared" si="76"/>
        <v>Clean</v>
      </c>
      <c r="AF441" t="str">
        <f t="shared" si="69"/>
        <v>Same Day</v>
      </c>
    </row>
    <row r="442" spans="1:32">
      <c r="A442" t="s">
        <v>4989</v>
      </c>
      <c r="B442" s="4">
        <v>45326</v>
      </c>
      <c r="C442" s="4">
        <v>45508</v>
      </c>
      <c r="D442" t="s">
        <v>4227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  <c r="V442" t="str">
        <f t="shared" si="70"/>
        <v>August</v>
      </c>
      <c r="W442" t="str">
        <f t="shared" si="71"/>
        <v>OK</v>
      </c>
      <c r="X442" t="str">
        <f t="shared" si="72"/>
        <v>OK</v>
      </c>
      <c r="Y442">
        <f t="shared" si="66"/>
        <v>0.2</v>
      </c>
      <c r="Z442">
        <f t="shared" si="67"/>
        <v>1</v>
      </c>
      <c r="AA442">
        <f t="shared" si="73"/>
        <v>5705.8320000000022</v>
      </c>
      <c r="AB442">
        <f t="shared" si="74"/>
        <v>17869.632000000001</v>
      </c>
      <c r="AC442">
        <f t="shared" si="75"/>
        <v>182</v>
      </c>
      <c r="AD442" t="str">
        <f t="shared" si="68"/>
        <v>East</v>
      </c>
      <c r="AE442" t="str">
        <f t="shared" si="76"/>
        <v>Clean</v>
      </c>
      <c r="AF442" t="str">
        <f t="shared" si="69"/>
        <v>Second Class</v>
      </c>
    </row>
    <row r="443" spans="1:32">
      <c r="A443" t="s">
        <v>4990</v>
      </c>
      <c r="B443" s="4">
        <v>45568</v>
      </c>
      <c r="C443" s="4">
        <v>45568</v>
      </c>
      <c r="D443" t="s">
        <v>4991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  <c r="V443" t="str">
        <f t="shared" si="70"/>
        <v>October</v>
      </c>
      <c r="W443" s="5" t="str">
        <f t="shared" si="71"/>
        <v>Invalid</v>
      </c>
      <c r="X443" t="str">
        <f t="shared" si="72"/>
        <v>OK</v>
      </c>
      <c r="Y443">
        <f t="shared" si="66"/>
        <v>0</v>
      </c>
      <c r="Z443">
        <f t="shared" si="67"/>
        <v>1</v>
      </c>
      <c r="AA443">
        <f t="shared" si="73"/>
        <v>4532.989999999998</v>
      </c>
      <c r="AB443">
        <f t="shared" si="74"/>
        <v>25304.94</v>
      </c>
      <c r="AC443">
        <f t="shared" si="75"/>
        <v>0</v>
      </c>
      <c r="AD443" t="str">
        <f t="shared" si="68"/>
        <v>East</v>
      </c>
      <c r="AE443" t="str">
        <f t="shared" si="76"/>
        <v>Clean</v>
      </c>
      <c r="AF443" t="str">
        <f t="shared" si="69"/>
        <v>Standard Class</v>
      </c>
    </row>
    <row r="444" spans="1:32">
      <c r="A444" t="s">
        <v>4992</v>
      </c>
      <c r="B444" s="4">
        <v>45992</v>
      </c>
      <c r="C444" s="4">
        <v>45676</v>
      </c>
      <c r="D444" t="s">
        <v>4993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  <c r="V444" t="str">
        <f t="shared" si="70"/>
        <v>January</v>
      </c>
      <c r="W444" s="5" t="str">
        <f t="shared" si="71"/>
        <v>Invalid</v>
      </c>
      <c r="X444" t="str">
        <f t="shared" si="72"/>
        <v>OK</v>
      </c>
      <c r="Y444">
        <f t="shared" si="66"/>
        <v>0</v>
      </c>
      <c r="Z444">
        <f t="shared" si="67"/>
        <v>1</v>
      </c>
      <c r="AA444">
        <f t="shared" si="73"/>
        <v>823.14</v>
      </c>
      <c r="AB444">
        <f t="shared" si="74"/>
        <v>1842.31</v>
      </c>
      <c r="AC444" s="5">
        <f t="shared" si="75"/>
        <v>-316</v>
      </c>
      <c r="AD444" t="str">
        <f t="shared" si="68"/>
        <v>East</v>
      </c>
      <c r="AE444" t="str">
        <f t="shared" si="76"/>
        <v>Invalid</v>
      </c>
      <c r="AF444" t="str">
        <f t="shared" si="69"/>
        <v>First Class</v>
      </c>
    </row>
    <row r="445" spans="1:32">
      <c r="A445" t="s">
        <v>4994</v>
      </c>
      <c r="B445" s="4">
        <v>45386</v>
      </c>
      <c r="C445" s="4">
        <v>45389</v>
      </c>
      <c r="D445" t="s">
        <v>4995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  <c r="V445" t="str">
        <f t="shared" si="70"/>
        <v>April</v>
      </c>
      <c r="W445" t="str">
        <f t="shared" si="71"/>
        <v>OK</v>
      </c>
      <c r="X445" t="str">
        <f t="shared" si="72"/>
        <v>OK</v>
      </c>
      <c r="Y445">
        <f t="shared" si="66"/>
        <v>0.1</v>
      </c>
      <c r="Z445">
        <f t="shared" si="67"/>
        <v>1</v>
      </c>
      <c r="AA445">
        <f t="shared" si="73"/>
        <v>967.69500000000016</v>
      </c>
      <c r="AB445">
        <f t="shared" si="74"/>
        <v>3315.375</v>
      </c>
      <c r="AC445">
        <f t="shared" si="75"/>
        <v>3</v>
      </c>
      <c r="AD445" t="str">
        <f t="shared" si="68"/>
        <v>East</v>
      </c>
      <c r="AE445" t="str">
        <f t="shared" si="76"/>
        <v>Clean</v>
      </c>
      <c r="AF445" t="str">
        <f t="shared" si="69"/>
        <v>First Class</v>
      </c>
    </row>
    <row r="446" spans="1:32">
      <c r="A446" t="s">
        <v>4996</v>
      </c>
      <c r="B446" s="4">
        <v>45999</v>
      </c>
      <c r="C446" s="4">
        <v>45885</v>
      </c>
      <c r="D446" t="s">
        <v>4997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  <c r="V446" t="str">
        <f t="shared" si="70"/>
        <v>August</v>
      </c>
      <c r="W446" s="5" t="str">
        <f t="shared" si="71"/>
        <v>Invalid</v>
      </c>
      <c r="X446" t="str">
        <f t="shared" si="72"/>
        <v>OK</v>
      </c>
      <c r="Y446">
        <f t="shared" si="66"/>
        <v>0.05</v>
      </c>
      <c r="Z446">
        <f t="shared" si="67"/>
        <v>1</v>
      </c>
      <c r="AA446">
        <f t="shared" si="73"/>
        <v>7934.9919999999966</v>
      </c>
      <c r="AB446">
        <f t="shared" si="74"/>
        <v>20342.501999999997</v>
      </c>
      <c r="AC446" s="5">
        <f t="shared" si="75"/>
        <v>-114</v>
      </c>
      <c r="AD446" t="str">
        <f t="shared" si="68"/>
        <v>East</v>
      </c>
      <c r="AE446" t="str">
        <f t="shared" si="76"/>
        <v>Invalid</v>
      </c>
      <c r="AF446" t="str">
        <f t="shared" si="69"/>
        <v>Same Day</v>
      </c>
    </row>
    <row r="447" spans="1:32">
      <c r="A447" t="s">
        <v>4998</v>
      </c>
      <c r="B447" s="4">
        <v>45540</v>
      </c>
      <c r="C447" s="4">
        <v>45417</v>
      </c>
      <c r="D447" t="s">
        <v>4999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  <c r="V447" t="str">
        <f t="shared" si="70"/>
        <v>May</v>
      </c>
      <c r="W447" s="5" t="str">
        <f t="shared" si="71"/>
        <v>Invalid</v>
      </c>
      <c r="X447" t="str">
        <f t="shared" si="72"/>
        <v>OK</v>
      </c>
      <c r="Y447">
        <f t="shared" si="66"/>
        <v>0.2</v>
      </c>
      <c r="Z447">
        <f t="shared" si="67"/>
        <v>1</v>
      </c>
      <c r="AA447">
        <f t="shared" si="73"/>
        <v>881.67800000000034</v>
      </c>
      <c r="AB447">
        <f t="shared" si="74"/>
        <v>3377.9680000000003</v>
      </c>
      <c r="AC447" s="5">
        <f t="shared" si="75"/>
        <v>-123</v>
      </c>
      <c r="AD447" t="str">
        <f t="shared" si="68"/>
        <v>East</v>
      </c>
      <c r="AE447" t="str">
        <f t="shared" si="76"/>
        <v>Invalid</v>
      </c>
      <c r="AF447" t="str">
        <f t="shared" si="69"/>
        <v>Same Day</v>
      </c>
    </row>
    <row r="448" spans="1:32">
      <c r="A448" t="s">
        <v>5000</v>
      </c>
      <c r="B448" s="4">
        <v>45918</v>
      </c>
      <c r="C448" s="4">
        <v>45919</v>
      </c>
      <c r="D448" t="s">
        <v>5001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  <c r="V448" t="str">
        <f t="shared" si="70"/>
        <v>September</v>
      </c>
      <c r="W448" t="str">
        <f t="shared" si="71"/>
        <v>OK</v>
      </c>
      <c r="X448" t="str">
        <f t="shared" si="72"/>
        <v>OK</v>
      </c>
      <c r="Y448">
        <f t="shared" si="66"/>
        <v>0</v>
      </c>
      <c r="Z448">
        <f t="shared" si="67"/>
        <v>1</v>
      </c>
      <c r="AA448">
        <f t="shared" si="73"/>
        <v>10185.890000000003</v>
      </c>
      <c r="AB448">
        <f t="shared" si="74"/>
        <v>33940.080000000002</v>
      </c>
      <c r="AC448">
        <f t="shared" si="75"/>
        <v>1</v>
      </c>
      <c r="AD448" t="str">
        <f t="shared" si="68"/>
        <v>South</v>
      </c>
      <c r="AE448" t="str">
        <f t="shared" si="76"/>
        <v>Clean</v>
      </c>
      <c r="AF448" t="str">
        <f t="shared" si="69"/>
        <v>Same Day</v>
      </c>
    </row>
    <row r="449" spans="1:32">
      <c r="A449" t="s">
        <v>5002</v>
      </c>
      <c r="B449" s="4">
        <v>45879</v>
      </c>
      <c r="C449" s="4">
        <v>45879</v>
      </c>
      <c r="D449" t="s">
        <v>5003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  <c r="V449" t="str">
        <f t="shared" si="70"/>
        <v>August</v>
      </c>
      <c r="W449" s="5" t="str">
        <f t="shared" si="71"/>
        <v>Invalid</v>
      </c>
      <c r="X449" t="str">
        <f t="shared" si="72"/>
        <v>OK</v>
      </c>
      <c r="Y449">
        <f t="shared" si="66"/>
        <v>0.15</v>
      </c>
      <c r="Z449">
        <f t="shared" si="67"/>
        <v>1</v>
      </c>
      <c r="AA449">
        <f t="shared" si="73"/>
        <v>8042.8699999999953</v>
      </c>
      <c r="AB449">
        <f t="shared" si="74"/>
        <v>21872.369999999995</v>
      </c>
      <c r="AC449">
        <f t="shared" si="75"/>
        <v>0</v>
      </c>
      <c r="AD449" t="str">
        <f t="shared" si="68"/>
        <v>South</v>
      </c>
      <c r="AE449" t="str">
        <f t="shared" si="76"/>
        <v>Clean</v>
      </c>
      <c r="AF449" t="str">
        <f t="shared" si="69"/>
        <v>Standard Class</v>
      </c>
    </row>
    <row r="450" spans="1:32">
      <c r="A450" t="s">
        <v>5004</v>
      </c>
      <c r="B450" s="4">
        <v>45306</v>
      </c>
      <c r="C450" s="4">
        <v>45309</v>
      </c>
      <c r="D450" t="s">
        <v>5005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  <c r="V450" t="str">
        <f t="shared" si="70"/>
        <v>January</v>
      </c>
      <c r="W450" t="str">
        <f t="shared" si="71"/>
        <v>OK</v>
      </c>
      <c r="X450" t="str">
        <f t="shared" si="72"/>
        <v>OK</v>
      </c>
      <c r="Y450">
        <f t="shared" ref="Y450:Y513" si="77">IF(P450 ="",0,P450)</f>
        <v>0.15</v>
      </c>
      <c r="Z450">
        <f t="shared" ref="Z450:Z513" si="78">COUNTIF(A:A,A450)</f>
        <v>1</v>
      </c>
      <c r="AA450">
        <f t="shared" si="73"/>
        <v>97.487000000000023</v>
      </c>
      <c r="AB450">
        <f t="shared" si="74"/>
        <v>342.05700000000002</v>
      </c>
      <c r="AC450">
        <f t="shared" si="75"/>
        <v>3</v>
      </c>
      <c r="AD450" t="str">
        <f t="shared" ref="AD450:AD513" si="79">IF(G450="","Unknown",G450)</f>
        <v>South</v>
      </c>
      <c r="AE450" t="str">
        <f t="shared" si="76"/>
        <v>Clean</v>
      </c>
      <c r="AF450" t="str">
        <f t="shared" ref="AF450:AF513" si="80">IF(M450="","Unknown",M450)</f>
        <v>First Class</v>
      </c>
    </row>
    <row r="451" spans="1:32">
      <c r="A451" t="s">
        <v>5006</v>
      </c>
      <c r="B451" s="4">
        <v>45449</v>
      </c>
      <c r="C451" s="4">
        <v>45456</v>
      </c>
      <c r="D451" t="s">
        <v>4936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  <c r="V451" t="str">
        <f t="shared" ref="V451:V514" si="81">TEXT(C451,"MMMM")</f>
        <v>June</v>
      </c>
      <c r="W451" t="str">
        <f t="shared" ref="W451:W514" si="82">IF(B451&lt;C451,"OK","Invalid")</f>
        <v>OK</v>
      </c>
      <c r="X451" t="str">
        <f t="shared" ref="X451:X514" si="83">IF(P451&lt;0,"Negative Discount","OK")</f>
        <v>OK</v>
      </c>
      <c r="Y451">
        <f t="shared" si="77"/>
        <v>0</v>
      </c>
      <c r="Z451">
        <f t="shared" si="78"/>
        <v>1</v>
      </c>
      <c r="AA451">
        <f t="shared" ref="AA451:AA514" si="84">AB451-R451</f>
        <v>5350.8899999999994</v>
      </c>
      <c r="AB451">
        <f t="shared" ref="AB451:AB514" si="85">N451*O451*(1-Y451)</f>
        <v>19622.16</v>
      </c>
      <c r="AC451">
        <f t="shared" ref="AC451:AC514" si="86">C451-B451</f>
        <v>7</v>
      </c>
      <c r="AD451" t="str">
        <f t="shared" si="79"/>
        <v>East</v>
      </c>
      <c r="AE451" t="str">
        <f t="shared" ref="AE451:AE514" si="87">IF(OR(P451&lt;0,P451&gt;1,C451&lt;B451),"Invalid",IF(OR(G451="Unknown",M451="Unknown"),"Warning","Clean"))</f>
        <v>Clean</v>
      </c>
      <c r="AF451" t="str">
        <f t="shared" si="80"/>
        <v>Second Class</v>
      </c>
    </row>
    <row r="452" spans="1:32">
      <c r="A452" t="s">
        <v>5007</v>
      </c>
      <c r="B452" s="4">
        <v>45997</v>
      </c>
      <c r="C452" s="4">
        <v>45827</v>
      </c>
      <c r="D452" t="s">
        <v>5008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  <c r="V452" t="str">
        <f t="shared" si="81"/>
        <v>June</v>
      </c>
      <c r="W452" s="5" t="str">
        <f t="shared" si="82"/>
        <v>Invalid</v>
      </c>
      <c r="X452" t="str">
        <f t="shared" si="83"/>
        <v>OK</v>
      </c>
      <c r="Y452">
        <f t="shared" si="77"/>
        <v>0.25</v>
      </c>
      <c r="Z452">
        <f t="shared" si="78"/>
        <v>1</v>
      </c>
      <c r="AA452">
        <f t="shared" si="84"/>
        <v>5472.9774999999991</v>
      </c>
      <c r="AB452">
        <f t="shared" si="85"/>
        <v>15380.3475</v>
      </c>
      <c r="AC452" s="5">
        <f t="shared" si="86"/>
        <v>-170</v>
      </c>
      <c r="AD452" t="str">
        <f t="shared" si="79"/>
        <v>North</v>
      </c>
      <c r="AE452" t="str">
        <f t="shared" si="87"/>
        <v>Invalid</v>
      </c>
      <c r="AF452" t="str">
        <f t="shared" si="80"/>
        <v>Standard Class</v>
      </c>
    </row>
    <row r="453" spans="1:32">
      <c r="A453" t="s">
        <v>5009</v>
      </c>
      <c r="B453" s="4">
        <v>45375</v>
      </c>
      <c r="C453" s="4">
        <v>45377</v>
      </c>
      <c r="D453" t="s">
        <v>5010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  <c r="V453" t="str">
        <f t="shared" si="81"/>
        <v>March</v>
      </c>
      <c r="W453" t="str">
        <f t="shared" si="82"/>
        <v>OK</v>
      </c>
      <c r="X453" t="str">
        <f t="shared" si="83"/>
        <v>OK</v>
      </c>
      <c r="Y453">
        <f t="shared" si="77"/>
        <v>0.15</v>
      </c>
      <c r="Z453">
        <f t="shared" si="78"/>
        <v>1</v>
      </c>
      <c r="AA453">
        <f t="shared" si="84"/>
        <v>1912.1320000000014</v>
      </c>
      <c r="AB453">
        <f t="shared" si="85"/>
        <v>13039.952000000001</v>
      </c>
      <c r="AC453">
        <f t="shared" si="86"/>
        <v>2</v>
      </c>
      <c r="AD453" t="str">
        <f t="shared" si="79"/>
        <v>North</v>
      </c>
      <c r="AE453" t="str">
        <f t="shared" si="87"/>
        <v>Clean</v>
      </c>
      <c r="AF453" t="str">
        <f t="shared" si="80"/>
        <v>Second Class</v>
      </c>
    </row>
    <row r="454" spans="1:32">
      <c r="A454" t="s">
        <v>5011</v>
      </c>
      <c r="B454" s="4">
        <v>45422</v>
      </c>
      <c r="C454" s="4">
        <v>45428</v>
      </c>
      <c r="D454" t="s">
        <v>5012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  <c r="V454" t="str">
        <f t="shared" si="81"/>
        <v>May</v>
      </c>
      <c r="W454" t="str">
        <f t="shared" si="82"/>
        <v>OK</v>
      </c>
      <c r="X454" t="str">
        <f t="shared" si="83"/>
        <v>OK</v>
      </c>
      <c r="Y454">
        <f t="shared" si="77"/>
        <v>0.2</v>
      </c>
      <c r="Z454">
        <f t="shared" si="78"/>
        <v>1</v>
      </c>
      <c r="AA454">
        <f t="shared" si="84"/>
        <v>4035.0540000000001</v>
      </c>
      <c r="AB454">
        <f t="shared" si="85"/>
        <v>9663.9840000000004</v>
      </c>
      <c r="AC454">
        <f t="shared" si="86"/>
        <v>6</v>
      </c>
      <c r="AD454" t="str">
        <f t="shared" si="79"/>
        <v>East</v>
      </c>
      <c r="AE454" t="str">
        <f t="shared" si="87"/>
        <v>Clean</v>
      </c>
      <c r="AF454" t="str">
        <f t="shared" si="80"/>
        <v>Second Class</v>
      </c>
    </row>
    <row r="455" spans="1:32">
      <c r="A455" t="s">
        <v>5013</v>
      </c>
      <c r="B455" s="4">
        <v>45721</v>
      </c>
      <c r="C455" s="4">
        <v>45788</v>
      </c>
      <c r="D455" t="s">
        <v>5014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  <c r="V455" t="str">
        <f t="shared" si="81"/>
        <v>May</v>
      </c>
      <c r="W455" t="str">
        <f t="shared" si="82"/>
        <v>OK</v>
      </c>
      <c r="X455" t="str">
        <f t="shared" si="83"/>
        <v>OK</v>
      </c>
      <c r="Y455">
        <f t="shared" si="77"/>
        <v>0</v>
      </c>
      <c r="Z455">
        <f t="shared" si="78"/>
        <v>1</v>
      </c>
      <c r="AA455">
        <f t="shared" si="84"/>
        <v>2461.7400000000007</v>
      </c>
      <c r="AB455">
        <f t="shared" si="85"/>
        <v>7417.6</v>
      </c>
      <c r="AC455">
        <f t="shared" si="86"/>
        <v>67</v>
      </c>
      <c r="AD455" t="str">
        <f t="shared" si="79"/>
        <v>West</v>
      </c>
      <c r="AE455" t="str">
        <f t="shared" si="87"/>
        <v>Clean</v>
      </c>
      <c r="AF455" t="str">
        <f t="shared" si="80"/>
        <v>Same Day</v>
      </c>
    </row>
    <row r="456" spans="1:32">
      <c r="A456" t="s">
        <v>5015</v>
      </c>
      <c r="B456" s="4">
        <v>45739</v>
      </c>
      <c r="C456" s="4">
        <v>45744</v>
      </c>
      <c r="D456" t="s">
        <v>5016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  <c r="V456" t="str">
        <f t="shared" si="81"/>
        <v>March</v>
      </c>
      <c r="W456" t="str">
        <f t="shared" si="82"/>
        <v>OK</v>
      </c>
      <c r="X456" t="str">
        <f t="shared" si="83"/>
        <v>OK</v>
      </c>
      <c r="Y456">
        <f t="shared" si="77"/>
        <v>0.15</v>
      </c>
      <c r="Z456">
        <f t="shared" si="78"/>
        <v>1</v>
      </c>
      <c r="AA456">
        <f t="shared" si="84"/>
        <v>5059.2700000000004</v>
      </c>
      <c r="AB456">
        <f t="shared" si="85"/>
        <v>25229.7</v>
      </c>
      <c r="AC456">
        <f t="shared" si="86"/>
        <v>5</v>
      </c>
      <c r="AD456" t="str">
        <f t="shared" si="79"/>
        <v>North</v>
      </c>
      <c r="AE456" t="str">
        <f t="shared" si="87"/>
        <v>Clean</v>
      </c>
      <c r="AF456" t="str">
        <f t="shared" si="80"/>
        <v>Standard Class</v>
      </c>
    </row>
    <row r="457" spans="1:32">
      <c r="A457" t="s">
        <v>5017</v>
      </c>
      <c r="B457" s="4">
        <v>45491</v>
      </c>
      <c r="C457" s="4">
        <v>45495</v>
      </c>
      <c r="D457" t="s">
        <v>5018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  <c r="V457" t="str">
        <f t="shared" si="81"/>
        <v>July</v>
      </c>
      <c r="W457" t="str">
        <f t="shared" si="82"/>
        <v>OK</v>
      </c>
      <c r="X457" t="str">
        <f t="shared" si="83"/>
        <v>OK</v>
      </c>
      <c r="Y457">
        <f t="shared" si="77"/>
        <v>0</v>
      </c>
      <c r="Z457">
        <f t="shared" si="78"/>
        <v>1</v>
      </c>
      <c r="AA457">
        <f t="shared" si="84"/>
        <v>1386.48</v>
      </c>
      <c r="AB457">
        <f t="shared" si="85"/>
        <v>3235.08</v>
      </c>
      <c r="AC457">
        <f t="shared" si="86"/>
        <v>4</v>
      </c>
      <c r="AD457" t="str">
        <f t="shared" si="79"/>
        <v>South</v>
      </c>
      <c r="AE457" t="str">
        <f t="shared" si="87"/>
        <v>Clean</v>
      </c>
      <c r="AF457" t="str">
        <f t="shared" si="80"/>
        <v>Standard Class</v>
      </c>
    </row>
    <row r="458" spans="1:32">
      <c r="A458" t="s">
        <v>5019</v>
      </c>
      <c r="B458" s="4">
        <v>45342</v>
      </c>
      <c r="C458" s="4">
        <v>45342</v>
      </c>
      <c r="D458" t="s">
        <v>5020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  <c r="V458" t="str">
        <f t="shared" si="81"/>
        <v>February</v>
      </c>
      <c r="W458" s="5" t="str">
        <f t="shared" si="82"/>
        <v>Invalid</v>
      </c>
      <c r="X458" t="str">
        <f t="shared" si="83"/>
        <v>OK</v>
      </c>
      <c r="Y458">
        <f t="shared" si="77"/>
        <v>0.15</v>
      </c>
      <c r="Z458">
        <f t="shared" si="78"/>
        <v>1</v>
      </c>
      <c r="AA458">
        <f t="shared" si="84"/>
        <v>4447.2574999999988</v>
      </c>
      <c r="AB458">
        <f t="shared" si="85"/>
        <v>11070.867499999998</v>
      </c>
      <c r="AC458">
        <f t="shared" si="86"/>
        <v>0</v>
      </c>
      <c r="AD458" t="str">
        <f t="shared" si="79"/>
        <v>North</v>
      </c>
      <c r="AE458" t="str">
        <f t="shared" si="87"/>
        <v>Clean</v>
      </c>
      <c r="AF458" t="str">
        <f t="shared" si="80"/>
        <v>Same Day</v>
      </c>
    </row>
    <row r="459" spans="1:32">
      <c r="A459" t="s">
        <v>5021</v>
      </c>
      <c r="B459" s="4">
        <v>45387</v>
      </c>
      <c r="C459" s="4">
        <v>45416</v>
      </c>
      <c r="D459" t="s">
        <v>5022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  <c r="V459" t="str">
        <f t="shared" si="81"/>
        <v>May</v>
      </c>
      <c r="W459" t="str">
        <f t="shared" si="82"/>
        <v>OK</v>
      </c>
      <c r="X459" t="str">
        <f t="shared" si="83"/>
        <v>OK</v>
      </c>
      <c r="Y459">
        <f t="shared" si="77"/>
        <v>0</v>
      </c>
      <c r="Z459">
        <f t="shared" si="78"/>
        <v>1</v>
      </c>
      <c r="AA459">
        <f t="shared" si="84"/>
        <v>3356.9700000000012</v>
      </c>
      <c r="AB459">
        <f t="shared" si="85"/>
        <v>19960.57</v>
      </c>
      <c r="AC459">
        <f t="shared" si="86"/>
        <v>29</v>
      </c>
      <c r="AD459" t="str">
        <f t="shared" si="79"/>
        <v>West</v>
      </c>
      <c r="AE459" t="str">
        <f t="shared" si="87"/>
        <v>Clean</v>
      </c>
      <c r="AF459" t="str">
        <f t="shared" si="80"/>
        <v>Standard Class</v>
      </c>
    </row>
    <row r="460" spans="1:32">
      <c r="A460" t="s">
        <v>5023</v>
      </c>
      <c r="B460" s="4">
        <v>45567</v>
      </c>
      <c r="C460" s="4">
        <v>45598</v>
      </c>
      <c r="D460" t="s">
        <v>5024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  <c r="V460" t="str">
        <f t="shared" si="81"/>
        <v>November</v>
      </c>
      <c r="W460" t="str">
        <f t="shared" si="82"/>
        <v>OK</v>
      </c>
      <c r="X460" t="str">
        <f t="shared" si="83"/>
        <v>OK</v>
      </c>
      <c r="Y460">
        <f t="shared" si="77"/>
        <v>0.1</v>
      </c>
      <c r="Z460">
        <f t="shared" si="78"/>
        <v>1</v>
      </c>
      <c r="AA460">
        <f t="shared" si="84"/>
        <v>3217.884</v>
      </c>
      <c r="AB460">
        <f t="shared" si="85"/>
        <v>8596.0439999999999</v>
      </c>
      <c r="AC460">
        <f t="shared" si="86"/>
        <v>31</v>
      </c>
      <c r="AD460" t="str">
        <f t="shared" si="79"/>
        <v>North</v>
      </c>
      <c r="AE460" t="str">
        <f t="shared" si="87"/>
        <v>Clean</v>
      </c>
      <c r="AF460" t="str">
        <f t="shared" si="80"/>
        <v>Second Class</v>
      </c>
    </row>
    <row r="461" spans="1:32">
      <c r="A461" t="s">
        <v>5025</v>
      </c>
      <c r="B461" s="4">
        <v>45379</v>
      </c>
      <c r="C461" s="4">
        <v>45386</v>
      </c>
      <c r="D461" t="s">
        <v>5026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  <c r="V461" t="str">
        <f t="shared" si="81"/>
        <v>April</v>
      </c>
      <c r="W461" t="str">
        <f t="shared" si="82"/>
        <v>OK</v>
      </c>
      <c r="X461" t="str">
        <f t="shared" si="83"/>
        <v>OK</v>
      </c>
      <c r="Y461">
        <f t="shared" si="77"/>
        <v>0</v>
      </c>
      <c r="Z461">
        <f t="shared" si="78"/>
        <v>1</v>
      </c>
      <c r="AA461">
        <f t="shared" si="84"/>
        <v>1374.8000000000002</v>
      </c>
      <c r="AB461">
        <f t="shared" si="85"/>
        <v>3452.76</v>
      </c>
      <c r="AC461">
        <f t="shared" si="86"/>
        <v>7</v>
      </c>
      <c r="AD461" t="str">
        <f t="shared" si="79"/>
        <v>West</v>
      </c>
      <c r="AE461" t="str">
        <f t="shared" si="87"/>
        <v>Clean</v>
      </c>
      <c r="AF461" t="str">
        <f t="shared" si="80"/>
        <v>First Class</v>
      </c>
    </row>
    <row r="462" spans="1:32">
      <c r="A462" t="s">
        <v>5027</v>
      </c>
      <c r="B462" s="4">
        <v>45930</v>
      </c>
      <c r="C462" s="4">
        <v>45936</v>
      </c>
      <c r="D462" t="s">
        <v>5028</v>
      </c>
      <c r="E462" t="s">
        <v>162</v>
      </c>
      <c r="F462" t="s">
        <v>108</v>
      </c>
      <c r="G462" t="s">
        <v>4187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  <c r="V462" t="str">
        <f t="shared" si="81"/>
        <v>October</v>
      </c>
      <c r="W462" t="str">
        <f t="shared" si="82"/>
        <v>OK</v>
      </c>
      <c r="X462" t="str">
        <f t="shared" si="83"/>
        <v>OK</v>
      </c>
      <c r="Y462">
        <f t="shared" si="77"/>
        <v>0.05</v>
      </c>
      <c r="Z462">
        <f t="shared" si="78"/>
        <v>1</v>
      </c>
      <c r="AA462">
        <f t="shared" si="84"/>
        <v>4232.9040000000023</v>
      </c>
      <c r="AB462">
        <f t="shared" si="85"/>
        <v>11626.974000000002</v>
      </c>
      <c r="AC462">
        <f t="shared" si="86"/>
        <v>6</v>
      </c>
      <c r="AD462" s="5" t="str">
        <f t="shared" si="79"/>
        <v>Unknown</v>
      </c>
      <c r="AE462" t="str">
        <f t="shared" si="87"/>
        <v>Clean</v>
      </c>
      <c r="AF462" t="str">
        <f t="shared" si="80"/>
        <v>Second Class</v>
      </c>
    </row>
    <row r="463" spans="1:32">
      <c r="A463" t="s">
        <v>5029</v>
      </c>
      <c r="B463" s="4">
        <v>45802</v>
      </c>
      <c r="C463" s="4">
        <v>45803</v>
      </c>
      <c r="D463" t="s">
        <v>5030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  <c r="V463" t="str">
        <f t="shared" si="81"/>
        <v>May</v>
      </c>
      <c r="W463" t="str">
        <f t="shared" si="82"/>
        <v>OK</v>
      </c>
      <c r="X463" t="str">
        <f t="shared" si="83"/>
        <v>OK</v>
      </c>
      <c r="Y463">
        <f t="shared" si="77"/>
        <v>0.15</v>
      </c>
      <c r="Z463">
        <f t="shared" si="78"/>
        <v>1</v>
      </c>
      <c r="AA463">
        <f t="shared" si="84"/>
        <v>1562.2025000000012</v>
      </c>
      <c r="AB463">
        <f t="shared" si="85"/>
        <v>8614.2825000000012</v>
      </c>
      <c r="AC463">
        <f t="shared" si="86"/>
        <v>1</v>
      </c>
      <c r="AD463" t="str">
        <f t="shared" si="79"/>
        <v>South</v>
      </c>
      <c r="AE463" t="str">
        <f t="shared" si="87"/>
        <v>Clean</v>
      </c>
      <c r="AF463" t="str">
        <f t="shared" si="80"/>
        <v>Standard Class</v>
      </c>
    </row>
    <row r="464" spans="1:32">
      <c r="A464" t="s">
        <v>5031</v>
      </c>
      <c r="B464" s="4">
        <v>45558</v>
      </c>
      <c r="C464" s="4">
        <v>45560</v>
      </c>
      <c r="D464" t="s">
        <v>5032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  <c r="V464" t="str">
        <f t="shared" si="81"/>
        <v>September</v>
      </c>
      <c r="W464" t="str">
        <f t="shared" si="82"/>
        <v>OK</v>
      </c>
      <c r="X464" t="str">
        <f t="shared" si="83"/>
        <v>OK</v>
      </c>
      <c r="Y464">
        <f t="shared" si="77"/>
        <v>0.2</v>
      </c>
      <c r="Z464">
        <f t="shared" si="78"/>
        <v>1</v>
      </c>
      <c r="AA464">
        <f t="shared" si="84"/>
        <v>644.51400000000012</v>
      </c>
      <c r="AB464">
        <f t="shared" si="85"/>
        <v>2040.2240000000002</v>
      </c>
      <c r="AC464">
        <f t="shared" si="86"/>
        <v>2</v>
      </c>
      <c r="AD464" t="str">
        <f t="shared" si="79"/>
        <v>North</v>
      </c>
      <c r="AE464" t="str">
        <f t="shared" si="87"/>
        <v>Clean</v>
      </c>
      <c r="AF464" t="str">
        <f t="shared" si="80"/>
        <v>First Class</v>
      </c>
    </row>
    <row r="465" spans="1:32">
      <c r="A465" t="s">
        <v>5033</v>
      </c>
      <c r="B465" s="4">
        <v>45695</v>
      </c>
      <c r="C465" s="4">
        <v>45696</v>
      </c>
      <c r="D465" t="s">
        <v>5034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  <c r="V465" t="str">
        <f t="shared" si="81"/>
        <v>February</v>
      </c>
      <c r="W465" t="str">
        <f t="shared" si="82"/>
        <v>OK</v>
      </c>
      <c r="X465" t="str">
        <f t="shared" si="83"/>
        <v>OK</v>
      </c>
      <c r="Y465">
        <f t="shared" si="77"/>
        <v>0.2</v>
      </c>
      <c r="Z465">
        <f t="shared" si="78"/>
        <v>1</v>
      </c>
      <c r="AA465">
        <f t="shared" si="84"/>
        <v>714.0300000000002</v>
      </c>
      <c r="AB465">
        <f t="shared" si="85"/>
        <v>2846.4</v>
      </c>
      <c r="AC465">
        <f t="shared" si="86"/>
        <v>1</v>
      </c>
      <c r="AD465" t="str">
        <f t="shared" si="79"/>
        <v>West</v>
      </c>
      <c r="AE465" t="str">
        <f t="shared" si="87"/>
        <v>Clean</v>
      </c>
      <c r="AF465" t="str">
        <f t="shared" si="80"/>
        <v>Standard Class</v>
      </c>
    </row>
    <row r="466" spans="1:32">
      <c r="A466" t="s">
        <v>5035</v>
      </c>
      <c r="B466" s="4">
        <v>45727</v>
      </c>
      <c r="C466" s="4">
        <v>45731</v>
      </c>
      <c r="D466" t="s">
        <v>5036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  <c r="V466" t="str">
        <f t="shared" si="81"/>
        <v>March</v>
      </c>
      <c r="W466" t="str">
        <f t="shared" si="82"/>
        <v>OK</v>
      </c>
      <c r="X466" t="str">
        <f t="shared" si="83"/>
        <v>OK</v>
      </c>
      <c r="Y466">
        <f t="shared" si="77"/>
        <v>0.05</v>
      </c>
      <c r="Z466">
        <f t="shared" si="78"/>
        <v>1</v>
      </c>
      <c r="AA466">
        <f t="shared" si="84"/>
        <v>3199.5679999999993</v>
      </c>
      <c r="AB466">
        <f t="shared" si="85"/>
        <v>10331.477999999999</v>
      </c>
      <c r="AC466">
        <f t="shared" si="86"/>
        <v>4</v>
      </c>
      <c r="AD466" t="str">
        <f t="shared" si="79"/>
        <v>East</v>
      </c>
      <c r="AE466" t="str">
        <f t="shared" si="87"/>
        <v>Clean</v>
      </c>
      <c r="AF466" t="str">
        <f t="shared" si="80"/>
        <v>Same Day</v>
      </c>
    </row>
    <row r="467" spans="1:32">
      <c r="A467" t="s">
        <v>5037</v>
      </c>
      <c r="B467" s="4">
        <v>45320</v>
      </c>
      <c r="C467" s="4">
        <v>45328</v>
      </c>
      <c r="D467" t="s">
        <v>5038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  <c r="V467" t="str">
        <f t="shared" si="81"/>
        <v>February</v>
      </c>
      <c r="W467" t="str">
        <f t="shared" si="82"/>
        <v>OK</v>
      </c>
      <c r="X467" t="str">
        <f t="shared" si="83"/>
        <v>OK</v>
      </c>
      <c r="Y467">
        <f t="shared" si="77"/>
        <v>0</v>
      </c>
      <c r="Z467">
        <f t="shared" si="78"/>
        <v>1</v>
      </c>
      <c r="AA467">
        <f t="shared" si="84"/>
        <v>1039.2600000000002</v>
      </c>
      <c r="AB467">
        <f t="shared" si="85"/>
        <v>2517.8000000000002</v>
      </c>
      <c r="AC467">
        <f t="shared" si="86"/>
        <v>8</v>
      </c>
      <c r="AD467" t="str">
        <f t="shared" si="79"/>
        <v>West</v>
      </c>
      <c r="AE467" t="str">
        <f t="shared" si="87"/>
        <v>Clean</v>
      </c>
      <c r="AF467" t="str">
        <f t="shared" si="80"/>
        <v>Standard Class</v>
      </c>
    </row>
    <row r="468" spans="1:32">
      <c r="A468" t="s">
        <v>5039</v>
      </c>
      <c r="B468" s="4">
        <v>45295</v>
      </c>
      <c r="C468" s="4">
        <v>45505</v>
      </c>
      <c r="D468" t="s">
        <v>5040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  <c r="V468" t="str">
        <f t="shared" si="81"/>
        <v>August</v>
      </c>
      <c r="W468" t="str">
        <f t="shared" si="82"/>
        <v>OK</v>
      </c>
      <c r="X468" t="str">
        <f t="shared" si="83"/>
        <v>OK</v>
      </c>
      <c r="Y468">
        <f t="shared" si="77"/>
        <v>0.2</v>
      </c>
      <c r="Z468">
        <f t="shared" si="78"/>
        <v>1</v>
      </c>
      <c r="AA468">
        <f t="shared" si="84"/>
        <v>4356.6320000000014</v>
      </c>
      <c r="AB468">
        <f t="shared" si="85"/>
        <v>11462.112000000001</v>
      </c>
      <c r="AC468">
        <f t="shared" si="86"/>
        <v>210</v>
      </c>
      <c r="AD468" t="str">
        <f t="shared" si="79"/>
        <v>East</v>
      </c>
      <c r="AE468" t="str">
        <f t="shared" si="87"/>
        <v>Clean</v>
      </c>
      <c r="AF468" t="str">
        <f t="shared" si="80"/>
        <v>Same Day</v>
      </c>
    </row>
    <row r="469" spans="1:32">
      <c r="A469" t="s">
        <v>5041</v>
      </c>
      <c r="B469" s="4">
        <v>45524</v>
      </c>
      <c r="C469" s="4">
        <v>45525</v>
      </c>
      <c r="D469" t="s">
        <v>5042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  <c r="V469" t="str">
        <f t="shared" si="81"/>
        <v>August</v>
      </c>
      <c r="W469" t="str">
        <f t="shared" si="82"/>
        <v>OK</v>
      </c>
      <c r="X469" t="str">
        <f t="shared" si="83"/>
        <v>OK</v>
      </c>
      <c r="Y469">
        <f t="shared" si="77"/>
        <v>0.1</v>
      </c>
      <c r="Z469">
        <f t="shared" si="78"/>
        <v>1</v>
      </c>
      <c r="AA469">
        <f t="shared" si="84"/>
        <v>3845.8250000000007</v>
      </c>
      <c r="AB469">
        <f t="shared" si="85"/>
        <v>19297.485000000001</v>
      </c>
      <c r="AC469">
        <f t="shared" si="86"/>
        <v>1</v>
      </c>
      <c r="AD469" t="str">
        <f t="shared" si="79"/>
        <v>East</v>
      </c>
      <c r="AE469" t="str">
        <f t="shared" si="87"/>
        <v>Clean</v>
      </c>
      <c r="AF469" t="str">
        <f t="shared" si="80"/>
        <v>First Class</v>
      </c>
    </row>
    <row r="470" spans="1:32">
      <c r="A470" t="s">
        <v>5043</v>
      </c>
      <c r="B470" s="4">
        <v>45901</v>
      </c>
      <c r="C470" s="4">
        <v>45664</v>
      </c>
      <c r="D470" t="s">
        <v>5044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  <c r="V470" t="str">
        <f t="shared" si="81"/>
        <v>January</v>
      </c>
      <c r="W470" s="5" t="str">
        <f t="shared" si="82"/>
        <v>Invalid</v>
      </c>
      <c r="X470" t="str">
        <f t="shared" si="83"/>
        <v>OK</v>
      </c>
      <c r="Y470">
        <f t="shared" si="77"/>
        <v>0</v>
      </c>
      <c r="Z470">
        <f t="shared" si="78"/>
        <v>1</v>
      </c>
      <c r="AA470">
        <f t="shared" si="84"/>
        <v>1157.75</v>
      </c>
      <c r="AB470">
        <f t="shared" si="85"/>
        <v>6564.99</v>
      </c>
      <c r="AC470" s="5">
        <f t="shared" si="86"/>
        <v>-237</v>
      </c>
      <c r="AD470" t="str">
        <f t="shared" si="79"/>
        <v>East</v>
      </c>
      <c r="AE470" t="str">
        <f t="shared" si="87"/>
        <v>Invalid</v>
      </c>
      <c r="AF470" t="str">
        <f t="shared" si="80"/>
        <v>Second Class</v>
      </c>
    </row>
    <row r="471" spans="1:32">
      <c r="A471" t="s">
        <v>5045</v>
      </c>
      <c r="B471" s="4">
        <v>45310</v>
      </c>
      <c r="C471" s="4">
        <v>45316</v>
      </c>
      <c r="D471" t="s">
        <v>5046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  <c r="V471" t="str">
        <f t="shared" si="81"/>
        <v>January</v>
      </c>
      <c r="W471" t="str">
        <f t="shared" si="82"/>
        <v>OK</v>
      </c>
      <c r="X471" t="str">
        <f t="shared" si="83"/>
        <v>OK</v>
      </c>
      <c r="Y471">
        <f t="shared" si="77"/>
        <v>0.1</v>
      </c>
      <c r="Z471">
        <f t="shared" si="78"/>
        <v>1</v>
      </c>
      <c r="AA471">
        <f t="shared" si="84"/>
        <v>530.36200000000053</v>
      </c>
      <c r="AB471">
        <f t="shared" si="85"/>
        <v>2812.4820000000004</v>
      </c>
      <c r="AC471">
        <f t="shared" si="86"/>
        <v>6</v>
      </c>
      <c r="AD471" t="str">
        <f t="shared" si="79"/>
        <v>West</v>
      </c>
      <c r="AE471" t="str">
        <f t="shared" si="87"/>
        <v>Clean</v>
      </c>
      <c r="AF471" t="str">
        <f t="shared" si="80"/>
        <v>First Class</v>
      </c>
    </row>
    <row r="472" spans="1:32">
      <c r="A472" t="s">
        <v>5047</v>
      </c>
      <c r="B472" s="4">
        <v>45501</v>
      </c>
      <c r="C472" s="4">
        <v>45504</v>
      </c>
      <c r="D472" t="s">
        <v>5048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  <c r="V472" t="str">
        <f t="shared" si="81"/>
        <v>July</v>
      </c>
      <c r="W472" t="str">
        <f t="shared" si="82"/>
        <v>OK</v>
      </c>
      <c r="X472" t="str">
        <f t="shared" si="83"/>
        <v>OK</v>
      </c>
      <c r="Y472">
        <f t="shared" si="77"/>
        <v>0.2</v>
      </c>
      <c r="Z472">
        <f t="shared" si="78"/>
        <v>1</v>
      </c>
      <c r="AA472">
        <f t="shared" si="84"/>
        <v>2613.7380000000003</v>
      </c>
      <c r="AB472">
        <f t="shared" si="85"/>
        <v>7079.6480000000001</v>
      </c>
      <c r="AC472">
        <f t="shared" si="86"/>
        <v>3</v>
      </c>
      <c r="AD472" t="str">
        <f t="shared" si="79"/>
        <v>North</v>
      </c>
      <c r="AE472" t="str">
        <f t="shared" si="87"/>
        <v>Clean</v>
      </c>
      <c r="AF472" t="str">
        <f t="shared" si="80"/>
        <v>Same Day</v>
      </c>
    </row>
    <row r="473" spans="1:32">
      <c r="A473" t="s">
        <v>5049</v>
      </c>
      <c r="B473" s="4">
        <v>45333</v>
      </c>
      <c r="C473" s="4">
        <v>45337</v>
      </c>
      <c r="D473" t="s">
        <v>5050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  <c r="V473" t="str">
        <f t="shared" si="81"/>
        <v>February</v>
      </c>
      <c r="W473" t="str">
        <f t="shared" si="82"/>
        <v>OK</v>
      </c>
      <c r="X473" t="str">
        <f t="shared" si="83"/>
        <v>OK</v>
      </c>
      <c r="Y473">
        <f t="shared" si="77"/>
        <v>0.25</v>
      </c>
      <c r="Z473">
        <f t="shared" si="78"/>
        <v>1</v>
      </c>
      <c r="AA473">
        <f t="shared" si="84"/>
        <v>1807.8450000000003</v>
      </c>
      <c r="AB473">
        <f t="shared" si="85"/>
        <v>6793.0650000000005</v>
      </c>
      <c r="AC473">
        <f t="shared" si="86"/>
        <v>4</v>
      </c>
      <c r="AD473" t="str">
        <f t="shared" si="79"/>
        <v>South</v>
      </c>
      <c r="AE473" t="str">
        <f t="shared" si="87"/>
        <v>Clean</v>
      </c>
      <c r="AF473" t="str">
        <f t="shared" si="80"/>
        <v>Standard Class</v>
      </c>
    </row>
    <row r="474" spans="1:32">
      <c r="A474" t="s">
        <v>5051</v>
      </c>
      <c r="B474" s="4">
        <v>45353</v>
      </c>
      <c r="C474" s="4">
        <v>45476</v>
      </c>
      <c r="D474" t="s">
        <v>5052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  <c r="V474" t="str">
        <f t="shared" si="81"/>
        <v>July</v>
      </c>
      <c r="W474" t="str">
        <f t="shared" si="82"/>
        <v>OK</v>
      </c>
      <c r="X474" t="str">
        <f t="shared" si="83"/>
        <v>OK</v>
      </c>
      <c r="Y474">
        <f t="shared" si="77"/>
        <v>0</v>
      </c>
      <c r="Z474">
        <f t="shared" si="78"/>
        <v>1</v>
      </c>
      <c r="AA474">
        <f t="shared" si="84"/>
        <v>750.00999999999976</v>
      </c>
      <c r="AB474">
        <f t="shared" si="85"/>
        <v>1844.2199999999998</v>
      </c>
      <c r="AC474">
        <f t="shared" si="86"/>
        <v>123</v>
      </c>
      <c r="AD474" t="str">
        <f t="shared" si="79"/>
        <v>East</v>
      </c>
      <c r="AE474" t="str">
        <f t="shared" si="87"/>
        <v>Clean</v>
      </c>
      <c r="AF474" t="str">
        <f t="shared" si="80"/>
        <v>Standard Class</v>
      </c>
    </row>
    <row r="475" spans="1:32">
      <c r="A475" t="s">
        <v>5053</v>
      </c>
      <c r="B475" s="4">
        <v>45609</v>
      </c>
      <c r="C475" s="4">
        <v>45609</v>
      </c>
      <c r="D475" t="s">
        <v>5054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  <c r="V475" t="str">
        <f t="shared" si="81"/>
        <v>November</v>
      </c>
      <c r="W475" s="5" t="str">
        <f t="shared" si="82"/>
        <v>Invalid</v>
      </c>
      <c r="X475" t="str">
        <f t="shared" si="83"/>
        <v>OK</v>
      </c>
      <c r="Y475">
        <f t="shared" si="77"/>
        <v>0.2</v>
      </c>
      <c r="Z475">
        <f t="shared" si="78"/>
        <v>1</v>
      </c>
      <c r="AA475">
        <f t="shared" si="84"/>
        <v>364.78</v>
      </c>
      <c r="AB475">
        <f t="shared" si="85"/>
        <v>918.95999999999992</v>
      </c>
      <c r="AC475">
        <f t="shared" si="86"/>
        <v>0</v>
      </c>
      <c r="AD475" t="str">
        <f t="shared" si="79"/>
        <v>West</v>
      </c>
      <c r="AE475" t="str">
        <f t="shared" si="87"/>
        <v>Clean</v>
      </c>
      <c r="AF475" t="str">
        <f t="shared" si="80"/>
        <v>Standard Class</v>
      </c>
    </row>
    <row r="476" spans="1:32">
      <c r="A476" t="s">
        <v>5055</v>
      </c>
      <c r="B476" s="4">
        <v>45446</v>
      </c>
      <c r="C476" s="4">
        <v>45453</v>
      </c>
      <c r="D476" t="s">
        <v>5056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  <c r="V476" t="str">
        <f t="shared" si="81"/>
        <v>June</v>
      </c>
      <c r="W476" t="str">
        <f t="shared" si="82"/>
        <v>OK</v>
      </c>
      <c r="X476" t="str">
        <f t="shared" si="83"/>
        <v>OK</v>
      </c>
      <c r="Y476">
        <f t="shared" si="77"/>
        <v>0</v>
      </c>
      <c r="Z476">
        <f t="shared" si="78"/>
        <v>1</v>
      </c>
      <c r="AA476">
        <f t="shared" si="84"/>
        <v>2186.81</v>
      </c>
      <c r="AB476">
        <f t="shared" si="85"/>
        <v>4900.71</v>
      </c>
      <c r="AC476">
        <f t="shared" si="86"/>
        <v>7</v>
      </c>
      <c r="AD476" t="str">
        <f t="shared" si="79"/>
        <v>North</v>
      </c>
      <c r="AE476" t="str">
        <f t="shared" si="87"/>
        <v>Clean</v>
      </c>
      <c r="AF476" t="str">
        <f t="shared" si="80"/>
        <v>Standard Class</v>
      </c>
    </row>
    <row r="477" spans="1:32">
      <c r="A477" t="s">
        <v>5057</v>
      </c>
      <c r="B477" s="4">
        <v>45660</v>
      </c>
      <c r="C477" s="4">
        <v>45724</v>
      </c>
      <c r="D477" t="s">
        <v>5058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  <c r="V477" t="str">
        <f t="shared" si="81"/>
        <v>March</v>
      </c>
      <c r="W477" t="str">
        <f t="shared" si="82"/>
        <v>OK</v>
      </c>
      <c r="X477" t="str">
        <f t="shared" si="83"/>
        <v>OK</v>
      </c>
      <c r="Y477">
        <f t="shared" si="77"/>
        <v>0.25</v>
      </c>
      <c r="Z477">
        <f t="shared" si="78"/>
        <v>1</v>
      </c>
      <c r="AA477">
        <f t="shared" si="84"/>
        <v>4399.5400000000027</v>
      </c>
      <c r="AB477">
        <f t="shared" si="85"/>
        <v>20272.920000000002</v>
      </c>
      <c r="AC477">
        <f t="shared" si="86"/>
        <v>64</v>
      </c>
      <c r="AD477" t="str">
        <f t="shared" si="79"/>
        <v>East</v>
      </c>
      <c r="AE477" t="str">
        <f t="shared" si="87"/>
        <v>Clean</v>
      </c>
      <c r="AF477" t="str">
        <f t="shared" si="80"/>
        <v>Same Day</v>
      </c>
    </row>
    <row r="478" spans="1:32">
      <c r="A478" t="s">
        <v>5059</v>
      </c>
      <c r="B478" s="4">
        <v>45478</v>
      </c>
      <c r="C478" s="4">
        <v>45426</v>
      </c>
      <c r="D478" t="s">
        <v>5060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  <c r="V478" t="str">
        <f t="shared" si="81"/>
        <v>May</v>
      </c>
      <c r="W478" s="5" t="str">
        <f t="shared" si="82"/>
        <v>Invalid</v>
      </c>
      <c r="X478" t="str">
        <f t="shared" si="83"/>
        <v>OK</v>
      </c>
      <c r="Y478">
        <f t="shared" si="77"/>
        <v>0.1</v>
      </c>
      <c r="Z478">
        <f t="shared" si="78"/>
        <v>1</v>
      </c>
      <c r="AA478">
        <f t="shared" si="84"/>
        <v>440.24599999999998</v>
      </c>
      <c r="AB478">
        <f t="shared" si="85"/>
        <v>1035.6659999999999</v>
      </c>
      <c r="AC478" s="5">
        <f t="shared" si="86"/>
        <v>-52</v>
      </c>
      <c r="AD478" t="str">
        <f t="shared" si="79"/>
        <v>North</v>
      </c>
      <c r="AE478" t="str">
        <f t="shared" si="87"/>
        <v>Invalid</v>
      </c>
      <c r="AF478" t="str">
        <f t="shared" si="80"/>
        <v>First Class</v>
      </c>
    </row>
    <row r="479" spans="1:32">
      <c r="A479" t="s">
        <v>5061</v>
      </c>
      <c r="B479" s="4">
        <v>45892</v>
      </c>
      <c r="C479" s="4">
        <v>45897</v>
      </c>
      <c r="D479" t="s">
        <v>5062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  <c r="V479" t="str">
        <f t="shared" si="81"/>
        <v>August</v>
      </c>
      <c r="W479" t="str">
        <f t="shared" si="82"/>
        <v>OK</v>
      </c>
      <c r="X479" t="str">
        <f t="shared" si="83"/>
        <v>OK</v>
      </c>
      <c r="Y479">
        <f t="shared" si="77"/>
        <v>0.1</v>
      </c>
      <c r="Z479">
        <f t="shared" si="78"/>
        <v>1</v>
      </c>
      <c r="AA479">
        <f t="shared" si="84"/>
        <v>2486.5620000000017</v>
      </c>
      <c r="AB479">
        <f t="shared" si="85"/>
        <v>11843.442000000001</v>
      </c>
      <c r="AC479">
        <f t="shared" si="86"/>
        <v>5</v>
      </c>
      <c r="AD479" t="str">
        <f t="shared" si="79"/>
        <v>West</v>
      </c>
      <c r="AE479" t="str">
        <f t="shared" si="87"/>
        <v>Clean</v>
      </c>
      <c r="AF479" t="str">
        <f t="shared" si="80"/>
        <v>Standard Class</v>
      </c>
    </row>
    <row r="480" spans="1:32">
      <c r="A480" t="s">
        <v>5063</v>
      </c>
      <c r="B480" s="4">
        <v>45541</v>
      </c>
      <c r="C480" s="4">
        <v>45456</v>
      </c>
      <c r="D480" t="s">
        <v>5064</v>
      </c>
      <c r="E480" t="s">
        <v>40</v>
      </c>
      <c r="F480" t="s">
        <v>115</v>
      </c>
      <c r="G480" t="s">
        <v>4187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  <c r="V480" t="str">
        <f t="shared" si="81"/>
        <v>June</v>
      </c>
      <c r="W480" s="5" t="str">
        <f t="shared" si="82"/>
        <v>Invalid</v>
      </c>
      <c r="X480" t="str">
        <f t="shared" si="83"/>
        <v>OK</v>
      </c>
      <c r="Y480">
        <f t="shared" si="77"/>
        <v>0.1</v>
      </c>
      <c r="Z480">
        <f t="shared" si="78"/>
        <v>1</v>
      </c>
      <c r="AA480">
        <f t="shared" si="84"/>
        <v>11130.693000000003</v>
      </c>
      <c r="AB480">
        <f t="shared" si="85"/>
        <v>25702.173000000003</v>
      </c>
      <c r="AC480" s="5">
        <f t="shared" si="86"/>
        <v>-85</v>
      </c>
      <c r="AD480" s="5" t="str">
        <f t="shared" si="79"/>
        <v>Unknown</v>
      </c>
      <c r="AE480" t="str">
        <f t="shared" si="87"/>
        <v>Invalid</v>
      </c>
      <c r="AF480" t="str">
        <f t="shared" si="80"/>
        <v>Same Day</v>
      </c>
    </row>
    <row r="481" spans="1:32">
      <c r="A481" t="s">
        <v>5065</v>
      </c>
      <c r="B481" s="4">
        <v>45345</v>
      </c>
      <c r="C481" s="4">
        <v>45342</v>
      </c>
      <c r="D481" t="s">
        <v>5066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  <c r="V481" t="str">
        <f t="shared" si="81"/>
        <v>February</v>
      </c>
      <c r="W481" s="5" t="str">
        <f t="shared" si="82"/>
        <v>Invalid</v>
      </c>
      <c r="X481" t="str">
        <f t="shared" si="83"/>
        <v>OK</v>
      </c>
      <c r="Y481">
        <f t="shared" si="77"/>
        <v>0</v>
      </c>
      <c r="Z481">
        <f t="shared" si="78"/>
        <v>1</v>
      </c>
      <c r="AA481">
        <f t="shared" si="84"/>
        <v>1167.9800000000002</v>
      </c>
      <c r="AB481">
        <f t="shared" si="85"/>
        <v>2202.5500000000002</v>
      </c>
      <c r="AC481" s="5">
        <f t="shared" si="86"/>
        <v>-3</v>
      </c>
      <c r="AD481" t="str">
        <f t="shared" si="79"/>
        <v>East</v>
      </c>
      <c r="AE481" t="str">
        <f t="shared" si="87"/>
        <v>Invalid</v>
      </c>
      <c r="AF481" t="str">
        <f t="shared" si="80"/>
        <v>Second Class</v>
      </c>
    </row>
    <row r="482" spans="1:32">
      <c r="A482" t="s">
        <v>5067</v>
      </c>
      <c r="B482" s="4">
        <v>45778</v>
      </c>
      <c r="C482" s="4">
        <v>45666</v>
      </c>
      <c r="D482" t="s">
        <v>5068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M482" t="s">
        <v>4187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  <c r="V482" t="str">
        <f t="shared" si="81"/>
        <v>January</v>
      </c>
      <c r="W482" s="5" t="str">
        <f t="shared" si="82"/>
        <v>Invalid</v>
      </c>
      <c r="X482" t="str">
        <f t="shared" si="83"/>
        <v>OK</v>
      </c>
      <c r="Y482">
        <f t="shared" si="77"/>
        <v>0</v>
      </c>
      <c r="Z482">
        <f t="shared" si="78"/>
        <v>1</v>
      </c>
      <c r="AA482">
        <f t="shared" si="84"/>
        <v>1811.29</v>
      </c>
      <c r="AB482">
        <f t="shared" si="85"/>
        <v>4525.8</v>
      </c>
      <c r="AC482" s="5">
        <f t="shared" si="86"/>
        <v>-112</v>
      </c>
      <c r="AD482" t="str">
        <f t="shared" si="79"/>
        <v>South</v>
      </c>
      <c r="AE482" t="str">
        <f t="shared" si="87"/>
        <v>Invalid</v>
      </c>
      <c r="AF482" s="5" t="str">
        <f t="shared" si="80"/>
        <v>Unknown</v>
      </c>
    </row>
    <row r="483" spans="1:32">
      <c r="A483" t="s">
        <v>5069</v>
      </c>
      <c r="B483" s="4">
        <v>45783</v>
      </c>
      <c r="C483" s="4">
        <v>45821</v>
      </c>
      <c r="D483" t="s">
        <v>5070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>
        <v>0.85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  <c r="V483" t="str">
        <f t="shared" si="81"/>
        <v>June</v>
      </c>
      <c r="W483" t="str">
        <f t="shared" si="82"/>
        <v>OK</v>
      </c>
      <c r="X483" t="str">
        <f t="shared" si="83"/>
        <v>OK</v>
      </c>
      <c r="Y483">
        <f t="shared" si="77"/>
        <v>0.85</v>
      </c>
      <c r="Z483">
        <f t="shared" si="78"/>
        <v>1</v>
      </c>
      <c r="AA483">
        <f t="shared" si="84"/>
        <v>-4677.2619999999997</v>
      </c>
      <c r="AB483">
        <f t="shared" si="85"/>
        <v>1676.3280000000002</v>
      </c>
      <c r="AC483">
        <f t="shared" si="86"/>
        <v>38</v>
      </c>
      <c r="AD483" t="str">
        <f t="shared" si="79"/>
        <v>North</v>
      </c>
      <c r="AE483" t="str">
        <f t="shared" si="87"/>
        <v>Clean</v>
      </c>
      <c r="AF483" t="str">
        <f t="shared" si="80"/>
        <v>Same Day</v>
      </c>
    </row>
    <row r="484" spans="1:32">
      <c r="A484" t="s">
        <v>5071</v>
      </c>
      <c r="B484" s="4">
        <v>45495</v>
      </c>
      <c r="C484" s="4">
        <v>45495</v>
      </c>
      <c r="D484" t="s">
        <v>5072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  <c r="V484" t="str">
        <f t="shared" si="81"/>
        <v>July</v>
      </c>
      <c r="W484" s="5" t="str">
        <f t="shared" si="82"/>
        <v>Invalid</v>
      </c>
      <c r="X484" t="str">
        <f t="shared" si="83"/>
        <v>OK</v>
      </c>
      <c r="Y484">
        <f t="shared" si="77"/>
        <v>0.25</v>
      </c>
      <c r="Z484">
        <f t="shared" si="78"/>
        <v>1</v>
      </c>
      <c r="AA484">
        <f t="shared" si="84"/>
        <v>1037.9649999999999</v>
      </c>
      <c r="AB484">
        <f t="shared" si="85"/>
        <v>2893.9949999999999</v>
      </c>
      <c r="AC484">
        <f t="shared" si="86"/>
        <v>0</v>
      </c>
      <c r="AD484" t="str">
        <f t="shared" si="79"/>
        <v>South</v>
      </c>
      <c r="AE484" t="str">
        <f t="shared" si="87"/>
        <v>Clean</v>
      </c>
      <c r="AF484" t="str">
        <f t="shared" si="80"/>
        <v>Second Class</v>
      </c>
    </row>
    <row r="485" spans="1:32">
      <c r="A485" t="s">
        <v>5073</v>
      </c>
      <c r="B485" s="4">
        <v>45651</v>
      </c>
      <c r="C485" s="4">
        <v>45651</v>
      </c>
      <c r="D485" t="s">
        <v>5074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  <c r="V485" t="str">
        <f t="shared" si="81"/>
        <v>December</v>
      </c>
      <c r="W485" s="5" t="str">
        <f t="shared" si="82"/>
        <v>Invalid</v>
      </c>
      <c r="X485" t="str">
        <f t="shared" si="83"/>
        <v>OK</v>
      </c>
      <c r="Y485">
        <f t="shared" si="77"/>
        <v>0.15</v>
      </c>
      <c r="Z485">
        <f t="shared" si="78"/>
        <v>1</v>
      </c>
      <c r="AA485">
        <f t="shared" si="84"/>
        <v>266.89099999999991</v>
      </c>
      <c r="AB485">
        <f t="shared" si="85"/>
        <v>705.2109999999999</v>
      </c>
      <c r="AC485">
        <f t="shared" si="86"/>
        <v>0</v>
      </c>
      <c r="AD485" t="str">
        <f t="shared" si="79"/>
        <v>East</v>
      </c>
      <c r="AE485" t="str">
        <f t="shared" si="87"/>
        <v>Clean</v>
      </c>
      <c r="AF485" t="str">
        <f t="shared" si="80"/>
        <v>Standard Class</v>
      </c>
    </row>
    <row r="486" spans="1:32">
      <c r="A486" t="s">
        <v>5075</v>
      </c>
      <c r="B486" s="4">
        <v>45654</v>
      </c>
      <c r="C486" s="4">
        <v>45657</v>
      </c>
      <c r="D486" t="s">
        <v>5076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  <c r="V486" t="str">
        <f t="shared" si="81"/>
        <v>December</v>
      </c>
      <c r="W486" t="str">
        <f t="shared" si="82"/>
        <v>OK</v>
      </c>
      <c r="X486" t="str">
        <f t="shared" si="83"/>
        <v>OK</v>
      </c>
      <c r="Y486">
        <f t="shared" si="77"/>
        <v>0.25</v>
      </c>
      <c r="Z486">
        <f t="shared" si="78"/>
        <v>1</v>
      </c>
      <c r="AA486">
        <f t="shared" si="84"/>
        <v>2706.2499999999982</v>
      </c>
      <c r="AB486">
        <f t="shared" si="85"/>
        <v>16385.489999999998</v>
      </c>
      <c r="AC486">
        <f t="shared" si="86"/>
        <v>3</v>
      </c>
      <c r="AD486" t="str">
        <f t="shared" si="79"/>
        <v>South</v>
      </c>
      <c r="AE486" t="str">
        <f t="shared" si="87"/>
        <v>Clean</v>
      </c>
      <c r="AF486" t="str">
        <f t="shared" si="80"/>
        <v>First Class</v>
      </c>
    </row>
    <row r="487" spans="1:32">
      <c r="A487" t="s">
        <v>5077</v>
      </c>
      <c r="B487" s="4">
        <v>45679</v>
      </c>
      <c r="C487" s="4">
        <v>45680</v>
      </c>
      <c r="D487" t="s">
        <v>5078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  <c r="V487" t="str">
        <f t="shared" si="81"/>
        <v>January</v>
      </c>
      <c r="W487" t="str">
        <f t="shared" si="82"/>
        <v>OK</v>
      </c>
      <c r="X487" t="str">
        <f t="shared" si="83"/>
        <v>OK</v>
      </c>
      <c r="Y487">
        <f t="shared" si="77"/>
        <v>0.25</v>
      </c>
      <c r="Z487">
        <f t="shared" si="78"/>
        <v>1</v>
      </c>
      <c r="AA487">
        <f t="shared" si="84"/>
        <v>2069.9699999999993</v>
      </c>
      <c r="AB487">
        <f t="shared" si="85"/>
        <v>7665.57</v>
      </c>
      <c r="AC487">
        <f t="shared" si="86"/>
        <v>1</v>
      </c>
      <c r="AD487" t="str">
        <f t="shared" si="79"/>
        <v>West</v>
      </c>
      <c r="AE487" t="str">
        <f t="shared" si="87"/>
        <v>Clean</v>
      </c>
      <c r="AF487" t="str">
        <f t="shared" si="80"/>
        <v>Standard Class</v>
      </c>
    </row>
    <row r="488" spans="1:32">
      <c r="A488" t="s">
        <v>5079</v>
      </c>
      <c r="B488" s="4">
        <v>45830</v>
      </c>
      <c r="C488" s="4">
        <v>45834</v>
      </c>
      <c r="D488" t="s">
        <v>5080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  <c r="V488" t="str">
        <f t="shared" si="81"/>
        <v>June</v>
      </c>
      <c r="W488" t="str">
        <f t="shared" si="82"/>
        <v>OK</v>
      </c>
      <c r="X488" t="str">
        <f t="shared" si="83"/>
        <v>OK</v>
      </c>
      <c r="Y488">
        <f t="shared" si="77"/>
        <v>0.2</v>
      </c>
      <c r="Z488">
        <f t="shared" si="78"/>
        <v>1</v>
      </c>
      <c r="AA488">
        <f t="shared" si="84"/>
        <v>1504.3420000000006</v>
      </c>
      <c r="AB488">
        <f t="shared" si="85"/>
        <v>4670.8320000000003</v>
      </c>
      <c r="AC488">
        <f t="shared" si="86"/>
        <v>4</v>
      </c>
      <c r="AD488" t="str">
        <f t="shared" si="79"/>
        <v>West</v>
      </c>
      <c r="AE488" t="str">
        <f t="shared" si="87"/>
        <v>Clean</v>
      </c>
      <c r="AF488" t="str">
        <f t="shared" si="80"/>
        <v>Standard Class</v>
      </c>
    </row>
    <row r="489" spans="1:32">
      <c r="A489" t="s">
        <v>5081</v>
      </c>
      <c r="B489" s="4">
        <v>45936</v>
      </c>
      <c r="C489" s="4">
        <v>45825</v>
      </c>
      <c r="D489" t="s">
        <v>5082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  <c r="V489" t="str">
        <f t="shared" si="81"/>
        <v>June</v>
      </c>
      <c r="W489" s="5" t="str">
        <f t="shared" si="82"/>
        <v>Invalid</v>
      </c>
      <c r="X489" t="str">
        <f t="shared" si="83"/>
        <v>OK</v>
      </c>
      <c r="Y489">
        <f t="shared" si="77"/>
        <v>0</v>
      </c>
      <c r="Z489">
        <f t="shared" si="78"/>
        <v>1</v>
      </c>
      <c r="AA489">
        <f t="shared" si="84"/>
        <v>1873.4099999999999</v>
      </c>
      <c r="AB489">
        <f t="shared" si="85"/>
        <v>6155.5</v>
      </c>
      <c r="AC489" s="5">
        <f t="shared" si="86"/>
        <v>-111</v>
      </c>
      <c r="AD489" t="str">
        <f t="shared" si="79"/>
        <v>South</v>
      </c>
      <c r="AE489" t="str">
        <f t="shared" si="87"/>
        <v>Invalid</v>
      </c>
      <c r="AF489" t="str">
        <f t="shared" si="80"/>
        <v>Standard Class</v>
      </c>
    </row>
    <row r="490" spans="1:32">
      <c r="A490" t="s">
        <v>5083</v>
      </c>
      <c r="B490" s="4">
        <v>45579</v>
      </c>
      <c r="C490" s="4">
        <v>45585</v>
      </c>
      <c r="D490" t="s">
        <v>5084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  <c r="V490" t="str">
        <f t="shared" si="81"/>
        <v>October</v>
      </c>
      <c r="W490" t="str">
        <f t="shared" si="82"/>
        <v>OK</v>
      </c>
      <c r="X490" t="str">
        <f t="shared" si="83"/>
        <v>OK</v>
      </c>
      <c r="Y490">
        <f t="shared" si="77"/>
        <v>0.2</v>
      </c>
      <c r="Z490">
        <f t="shared" si="78"/>
        <v>1</v>
      </c>
      <c r="AA490">
        <f t="shared" si="84"/>
        <v>2699.12</v>
      </c>
      <c r="AB490">
        <f t="shared" si="85"/>
        <v>8666.56</v>
      </c>
      <c r="AC490">
        <f t="shared" si="86"/>
        <v>6</v>
      </c>
      <c r="AD490" t="str">
        <f t="shared" si="79"/>
        <v>North</v>
      </c>
      <c r="AE490" t="str">
        <f t="shared" si="87"/>
        <v>Clean</v>
      </c>
      <c r="AF490" t="str">
        <f t="shared" si="80"/>
        <v>Same Day</v>
      </c>
    </row>
    <row r="491" spans="1:32">
      <c r="A491" t="s">
        <v>5085</v>
      </c>
      <c r="B491" s="4">
        <v>45475</v>
      </c>
      <c r="C491" s="4">
        <v>45334</v>
      </c>
      <c r="D491" t="s">
        <v>5086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  <c r="V491" t="str">
        <f t="shared" si="81"/>
        <v>February</v>
      </c>
      <c r="W491" s="5" t="str">
        <f t="shared" si="82"/>
        <v>Invalid</v>
      </c>
      <c r="X491" t="str">
        <f t="shared" si="83"/>
        <v>OK</v>
      </c>
      <c r="Y491">
        <f t="shared" si="77"/>
        <v>0.2</v>
      </c>
      <c r="Z491">
        <f t="shared" si="78"/>
        <v>1</v>
      </c>
      <c r="AA491">
        <f t="shared" si="84"/>
        <v>99.222000000000037</v>
      </c>
      <c r="AB491">
        <f t="shared" si="85"/>
        <v>361.75200000000001</v>
      </c>
      <c r="AC491" s="5">
        <f t="shared" si="86"/>
        <v>-141</v>
      </c>
      <c r="AD491" t="str">
        <f t="shared" si="79"/>
        <v>East</v>
      </c>
      <c r="AE491" t="str">
        <f t="shared" si="87"/>
        <v>Invalid</v>
      </c>
      <c r="AF491" t="str">
        <f t="shared" si="80"/>
        <v>Second Class</v>
      </c>
    </row>
    <row r="492" spans="1:32">
      <c r="A492" t="s">
        <v>5087</v>
      </c>
      <c r="B492" s="4">
        <v>45551</v>
      </c>
      <c r="C492" s="4">
        <v>45554</v>
      </c>
      <c r="D492" t="s">
        <v>5088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  <c r="V492" t="str">
        <f t="shared" si="81"/>
        <v>September</v>
      </c>
      <c r="W492" t="str">
        <f t="shared" si="82"/>
        <v>OK</v>
      </c>
      <c r="X492" t="str">
        <f t="shared" si="83"/>
        <v>OK</v>
      </c>
      <c r="Y492">
        <f t="shared" si="77"/>
        <v>0.15</v>
      </c>
      <c r="Z492">
        <f t="shared" si="78"/>
        <v>1</v>
      </c>
      <c r="AA492">
        <f t="shared" si="84"/>
        <v>804.37900000000013</v>
      </c>
      <c r="AB492">
        <f t="shared" si="85"/>
        <v>2418.1990000000001</v>
      </c>
      <c r="AC492">
        <f t="shared" si="86"/>
        <v>3</v>
      </c>
      <c r="AD492" t="str">
        <f t="shared" si="79"/>
        <v>West</v>
      </c>
      <c r="AE492" t="str">
        <f t="shared" si="87"/>
        <v>Clean</v>
      </c>
      <c r="AF492" t="str">
        <f t="shared" si="80"/>
        <v>First Class</v>
      </c>
    </row>
    <row r="493" spans="1:32">
      <c r="A493" t="s">
        <v>5089</v>
      </c>
      <c r="B493" s="4">
        <v>45776</v>
      </c>
      <c r="C493" s="4">
        <v>45777</v>
      </c>
      <c r="D493" t="s">
        <v>5090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  <c r="V493" t="str">
        <f t="shared" si="81"/>
        <v>April</v>
      </c>
      <c r="W493" t="str">
        <f t="shared" si="82"/>
        <v>OK</v>
      </c>
      <c r="X493" t="str">
        <f t="shared" si="83"/>
        <v>OK</v>
      </c>
      <c r="Y493">
        <f t="shared" si="77"/>
        <v>0.2</v>
      </c>
      <c r="Z493">
        <f t="shared" si="78"/>
        <v>1</v>
      </c>
      <c r="AA493">
        <f t="shared" si="84"/>
        <v>733.63600000000019</v>
      </c>
      <c r="AB493">
        <f t="shared" si="85"/>
        <v>1941.0560000000003</v>
      </c>
      <c r="AC493">
        <f t="shared" si="86"/>
        <v>1</v>
      </c>
      <c r="AD493" t="str">
        <f t="shared" si="79"/>
        <v>South</v>
      </c>
      <c r="AE493" t="str">
        <f t="shared" si="87"/>
        <v>Clean</v>
      </c>
      <c r="AF493" t="str">
        <f t="shared" si="80"/>
        <v>Standard Class</v>
      </c>
    </row>
    <row r="494" spans="1:32">
      <c r="A494" t="s">
        <v>5091</v>
      </c>
      <c r="B494" s="4">
        <v>45836</v>
      </c>
      <c r="C494" s="4">
        <v>45695</v>
      </c>
      <c r="D494" t="s">
        <v>5092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  <c r="V494" t="str">
        <f t="shared" si="81"/>
        <v>February</v>
      </c>
      <c r="W494" s="5" t="str">
        <f t="shared" si="82"/>
        <v>Invalid</v>
      </c>
      <c r="X494" t="str">
        <f t="shared" si="83"/>
        <v>OK</v>
      </c>
      <c r="Y494">
        <f t="shared" si="77"/>
        <v>0.25</v>
      </c>
      <c r="Z494">
        <f t="shared" si="78"/>
        <v>1</v>
      </c>
      <c r="AA494">
        <f t="shared" si="84"/>
        <v>882.48</v>
      </c>
      <c r="AB494">
        <f t="shared" si="85"/>
        <v>4088.16</v>
      </c>
      <c r="AC494" s="5">
        <f t="shared" si="86"/>
        <v>-141</v>
      </c>
      <c r="AD494" t="str">
        <f t="shared" si="79"/>
        <v>South</v>
      </c>
      <c r="AE494" t="str">
        <f t="shared" si="87"/>
        <v>Invalid</v>
      </c>
      <c r="AF494" t="str">
        <f t="shared" si="80"/>
        <v>Second Class</v>
      </c>
    </row>
    <row r="495" spans="1:32">
      <c r="A495" t="s">
        <v>5093</v>
      </c>
      <c r="B495" s="4">
        <v>45701</v>
      </c>
      <c r="C495" s="4">
        <v>45701</v>
      </c>
      <c r="D495" t="s">
        <v>5094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35</v>
      </c>
      <c r="V495" t="str">
        <f t="shared" si="81"/>
        <v>February</v>
      </c>
      <c r="W495" s="5" t="str">
        <f t="shared" si="82"/>
        <v>Invalid</v>
      </c>
      <c r="X495" t="str">
        <f t="shared" si="83"/>
        <v>OK</v>
      </c>
      <c r="Y495">
        <f t="shared" si="77"/>
        <v>0.05</v>
      </c>
      <c r="Z495">
        <f t="shared" si="78"/>
        <v>1</v>
      </c>
      <c r="AA495">
        <f t="shared" si="84"/>
        <v>4184.2949999999964</v>
      </c>
      <c r="AB495">
        <f t="shared" si="85"/>
        <v>15273.054999999997</v>
      </c>
      <c r="AC495">
        <f t="shared" si="86"/>
        <v>0</v>
      </c>
      <c r="AD495" t="str">
        <f t="shared" si="79"/>
        <v>East</v>
      </c>
      <c r="AE495" t="str">
        <f t="shared" si="87"/>
        <v>Clean</v>
      </c>
      <c r="AF495" t="str">
        <f t="shared" si="80"/>
        <v>Second Class</v>
      </c>
    </row>
    <row r="496" spans="1:32">
      <c r="A496" t="s">
        <v>5095</v>
      </c>
      <c r="B496" s="4">
        <v>45610</v>
      </c>
      <c r="C496" s="4">
        <v>45618</v>
      </c>
      <c r="D496" t="s">
        <v>5096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  <c r="V496" t="str">
        <f t="shared" si="81"/>
        <v>November</v>
      </c>
      <c r="W496" t="str">
        <f t="shared" si="82"/>
        <v>OK</v>
      </c>
      <c r="X496" s="5" t="str">
        <f t="shared" si="83"/>
        <v>Negative Discount</v>
      </c>
      <c r="Y496">
        <f t="shared" si="77"/>
        <v>-0.13</v>
      </c>
      <c r="Z496">
        <f t="shared" si="78"/>
        <v>1</v>
      </c>
      <c r="AA496">
        <f t="shared" si="84"/>
        <v>707.61519999999973</v>
      </c>
      <c r="AB496">
        <f t="shared" si="85"/>
        <v>2276.9951999999998</v>
      </c>
      <c r="AC496">
        <f t="shared" si="86"/>
        <v>8</v>
      </c>
      <c r="AD496" t="str">
        <f t="shared" si="79"/>
        <v>West</v>
      </c>
      <c r="AE496" t="str">
        <f t="shared" si="87"/>
        <v>Invalid</v>
      </c>
      <c r="AF496" t="str">
        <f t="shared" si="80"/>
        <v>Standard Class</v>
      </c>
    </row>
    <row r="497" spans="1:32">
      <c r="A497" t="s">
        <v>5097</v>
      </c>
      <c r="B497" s="4">
        <v>45540</v>
      </c>
      <c r="C497" s="4">
        <v>45427</v>
      </c>
      <c r="D497" t="s">
        <v>5098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  <c r="V497" t="str">
        <f t="shared" si="81"/>
        <v>May</v>
      </c>
      <c r="W497" s="5" t="str">
        <f t="shared" si="82"/>
        <v>Invalid</v>
      </c>
      <c r="X497" t="str">
        <f t="shared" si="83"/>
        <v>OK</v>
      </c>
      <c r="Y497">
        <f t="shared" si="77"/>
        <v>0.05</v>
      </c>
      <c r="Z497">
        <f t="shared" si="78"/>
        <v>1</v>
      </c>
      <c r="AA497">
        <f t="shared" si="84"/>
        <v>1365.4839999999999</v>
      </c>
      <c r="AB497">
        <f t="shared" si="85"/>
        <v>3784.7239999999997</v>
      </c>
      <c r="AC497" s="5">
        <f t="shared" si="86"/>
        <v>-113</v>
      </c>
      <c r="AD497" t="str">
        <f t="shared" si="79"/>
        <v>East</v>
      </c>
      <c r="AE497" t="str">
        <f t="shared" si="87"/>
        <v>Invalid</v>
      </c>
      <c r="AF497" t="str">
        <f t="shared" si="80"/>
        <v>Second Class</v>
      </c>
    </row>
    <row r="498" spans="1:32">
      <c r="A498" t="s">
        <v>5099</v>
      </c>
      <c r="B498" s="4">
        <v>45754</v>
      </c>
      <c r="C498" s="4">
        <v>45844</v>
      </c>
      <c r="D498" t="s">
        <v>5100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  <c r="V498" t="str">
        <f t="shared" si="81"/>
        <v>July</v>
      </c>
      <c r="W498" t="str">
        <f t="shared" si="82"/>
        <v>OK</v>
      </c>
      <c r="X498" t="str">
        <f t="shared" si="83"/>
        <v>OK</v>
      </c>
      <c r="Y498">
        <f t="shared" si="77"/>
        <v>0.1</v>
      </c>
      <c r="Z498">
        <f t="shared" si="78"/>
        <v>1</v>
      </c>
      <c r="AA498">
        <f t="shared" si="84"/>
        <v>2982.6460000000006</v>
      </c>
      <c r="AB498">
        <f t="shared" si="85"/>
        <v>6635.5560000000005</v>
      </c>
      <c r="AC498">
        <f t="shared" si="86"/>
        <v>90</v>
      </c>
      <c r="AD498" t="str">
        <f t="shared" si="79"/>
        <v>East</v>
      </c>
      <c r="AE498" t="str">
        <f t="shared" si="87"/>
        <v>Clean</v>
      </c>
      <c r="AF498" t="str">
        <f t="shared" si="80"/>
        <v>Second Class</v>
      </c>
    </row>
    <row r="499" spans="1:32">
      <c r="A499" t="s">
        <v>5101</v>
      </c>
      <c r="B499" s="4">
        <v>45533</v>
      </c>
      <c r="C499" s="4">
        <v>45533</v>
      </c>
      <c r="D499" t="s">
        <v>5102</v>
      </c>
      <c r="E499" t="s">
        <v>168</v>
      </c>
      <c r="F499" t="s">
        <v>41</v>
      </c>
      <c r="G499" t="s">
        <v>27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  <c r="V499" t="str">
        <f t="shared" si="81"/>
        <v>August</v>
      </c>
      <c r="W499" s="5" t="str">
        <f t="shared" si="82"/>
        <v>Invalid</v>
      </c>
      <c r="X499" t="str">
        <f t="shared" si="83"/>
        <v>OK</v>
      </c>
      <c r="Y499">
        <f t="shared" si="77"/>
        <v>0.2</v>
      </c>
      <c r="Z499">
        <f t="shared" si="78"/>
        <v>1</v>
      </c>
      <c r="AA499">
        <f t="shared" si="84"/>
        <v>457.0740000000003</v>
      </c>
      <c r="AB499">
        <f t="shared" si="85"/>
        <v>2485.5040000000004</v>
      </c>
      <c r="AC499">
        <f t="shared" si="86"/>
        <v>0</v>
      </c>
      <c r="AD499" t="str">
        <f t="shared" si="79"/>
        <v>North</v>
      </c>
      <c r="AE499" t="str">
        <f t="shared" si="87"/>
        <v>Clean</v>
      </c>
      <c r="AF499" t="str">
        <f t="shared" si="80"/>
        <v>Second Class</v>
      </c>
    </row>
    <row r="500" spans="1:32">
      <c r="A500" t="s">
        <v>5103</v>
      </c>
      <c r="B500" s="4">
        <v>45847</v>
      </c>
      <c r="C500" s="4">
        <v>45910</v>
      </c>
      <c r="D500" t="s">
        <v>5104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78</v>
      </c>
      <c r="V500" t="str">
        <f t="shared" si="81"/>
        <v>September</v>
      </c>
      <c r="W500" t="str">
        <f t="shared" si="82"/>
        <v>OK</v>
      </c>
      <c r="X500" t="str">
        <f t="shared" si="83"/>
        <v>OK</v>
      </c>
      <c r="Y500">
        <f t="shared" si="77"/>
        <v>0.05</v>
      </c>
      <c r="Z500">
        <f t="shared" si="78"/>
        <v>1</v>
      </c>
      <c r="AA500">
        <f t="shared" si="84"/>
        <v>249.36500000000001</v>
      </c>
      <c r="AB500">
        <f t="shared" si="85"/>
        <v>850.34500000000003</v>
      </c>
      <c r="AC500">
        <f t="shared" si="86"/>
        <v>63</v>
      </c>
      <c r="AD500" t="str">
        <f t="shared" si="79"/>
        <v>North</v>
      </c>
      <c r="AE500" t="str">
        <f t="shared" si="87"/>
        <v>Clean</v>
      </c>
      <c r="AF500" t="str">
        <f t="shared" si="80"/>
        <v>Same Day</v>
      </c>
    </row>
    <row r="501" spans="1:32">
      <c r="A501" t="s">
        <v>5105</v>
      </c>
      <c r="B501" s="4">
        <v>45648</v>
      </c>
      <c r="C501" s="4">
        <v>45652</v>
      </c>
      <c r="D501" t="s">
        <v>5106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  <c r="V501" t="str">
        <f t="shared" si="81"/>
        <v>December</v>
      </c>
      <c r="W501" t="str">
        <f t="shared" si="82"/>
        <v>OK</v>
      </c>
      <c r="X501" t="str">
        <f t="shared" si="83"/>
        <v>OK</v>
      </c>
      <c r="Y501">
        <f t="shared" si="77"/>
        <v>0</v>
      </c>
      <c r="Z501">
        <f t="shared" si="78"/>
        <v>1</v>
      </c>
      <c r="AA501">
        <f t="shared" si="84"/>
        <v>3938.7599999999984</v>
      </c>
      <c r="AB501">
        <f t="shared" si="85"/>
        <v>9997.8299999999981</v>
      </c>
      <c r="AC501">
        <f t="shared" si="86"/>
        <v>4</v>
      </c>
      <c r="AD501" t="str">
        <f t="shared" si="79"/>
        <v>North</v>
      </c>
      <c r="AE501" t="str">
        <f t="shared" si="87"/>
        <v>Clean</v>
      </c>
      <c r="AF501" t="str">
        <f t="shared" si="80"/>
        <v>Standard Class</v>
      </c>
    </row>
    <row r="502" spans="1:32">
      <c r="A502" t="s">
        <v>5107</v>
      </c>
      <c r="B502" s="4">
        <v>45429</v>
      </c>
      <c r="C502" s="4">
        <v>45434</v>
      </c>
      <c r="D502" t="s">
        <v>5108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>
        <v>0.85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  <c r="V502" t="str">
        <f t="shared" si="81"/>
        <v>May</v>
      </c>
      <c r="W502" t="str">
        <f t="shared" si="82"/>
        <v>OK</v>
      </c>
      <c r="X502" t="str">
        <f t="shared" si="83"/>
        <v>OK</v>
      </c>
      <c r="Y502">
        <f t="shared" si="77"/>
        <v>0.85</v>
      </c>
      <c r="Z502">
        <f t="shared" si="78"/>
        <v>1</v>
      </c>
      <c r="AA502">
        <f t="shared" si="84"/>
        <v>-23452.5635</v>
      </c>
      <c r="AB502">
        <f t="shared" si="85"/>
        <v>5124.5865000000003</v>
      </c>
      <c r="AC502">
        <f t="shared" si="86"/>
        <v>5</v>
      </c>
      <c r="AD502" t="str">
        <f t="shared" si="79"/>
        <v>South</v>
      </c>
      <c r="AE502" t="str">
        <f t="shared" si="87"/>
        <v>Clean</v>
      </c>
      <c r="AF502" t="str">
        <f t="shared" si="80"/>
        <v>Same Day</v>
      </c>
    </row>
    <row r="503" spans="1:32">
      <c r="A503" t="s">
        <v>5109</v>
      </c>
      <c r="B503" s="4">
        <v>45604</v>
      </c>
      <c r="C503" s="4">
        <v>45521</v>
      </c>
      <c r="D503" t="s">
        <v>4581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  <c r="V503" t="str">
        <f t="shared" si="81"/>
        <v>August</v>
      </c>
      <c r="W503" s="5" t="str">
        <f t="shared" si="82"/>
        <v>Invalid</v>
      </c>
      <c r="X503" t="str">
        <f t="shared" si="83"/>
        <v>OK</v>
      </c>
      <c r="Y503">
        <f t="shared" si="77"/>
        <v>0.15</v>
      </c>
      <c r="Z503">
        <f t="shared" si="78"/>
        <v>1</v>
      </c>
      <c r="AA503">
        <f t="shared" si="84"/>
        <v>4210.4339999999975</v>
      </c>
      <c r="AB503">
        <f t="shared" si="85"/>
        <v>17837.453999999998</v>
      </c>
      <c r="AC503" s="5">
        <f t="shared" si="86"/>
        <v>-83</v>
      </c>
      <c r="AD503" t="str">
        <f t="shared" si="79"/>
        <v>East</v>
      </c>
      <c r="AE503" t="str">
        <f t="shared" si="87"/>
        <v>Invalid</v>
      </c>
      <c r="AF503" t="str">
        <f t="shared" si="80"/>
        <v>Second Class</v>
      </c>
    </row>
    <row r="504" spans="1:32">
      <c r="A504" t="s">
        <v>5110</v>
      </c>
      <c r="B504" s="4">
        <v>45295</v>
      </c>
      <c r="C504" s="4">
        <v>45391</v>
      </c>
      <c r="D504" t="s">
        <v>5111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  <c r="V504" t="str">
        <f t="shared" si="81"/>
        <v>April</v>
      </c>
      <c r="W504" t="str">
        <f t="shared" si="82"/>
        <v>OK</v>
      </c>
      <c r="X504" t="str">
        <f t="shared" si="83"/>
        <v>OK</v>
      </c>
      <c r="Y504">
        <f t="shared" si="77"/>
        <v>0.1</v>
      </c>
      <c r="Z504">
        <f t="shared" si="78"/>
        <v>1</v>
      </c>
      <c r="AA504">
        <f t="shared" si="84"/>
        <v>1088.3220000000006</v>
      </c>
      <c r="AB504">
        <f t="shared" si="85"/>
        <v>4465.4220000000005</v>
      </c>
      <c r="AC504">
        <f t="shared" si="86"/>
        <v>96</v>
      </c>
      <c r="AD504" t="str">
        <f t="shared" si="79"/>
        <v>East</v>
      </c>
      <c r="AE504" t="str">
        <f t="shared" si="87"/>
        <v>Clean</v>
      </c>
      <c r="AF504" t="str">
        <f t="shared" si="80"/>
        <v>Second Class</v>
      </c>
    </row>
    <row r="505" spans="1:32">
      <c r="A505" t="s">
        <v>5112</v>
      </c>
      <c r="B505" s="4">
        <v>45563</v>
      </c>
      <c r="C505" s="4">
        <v>45570</v>
      </c>
      <c r="D505" t="s">
        <v>5113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  <c r="V505" t="str">
        <f t="shared" si="81"/>
        <v>October</v>
      </c>
      <c r="W505" t="str">
        <f t="shared" si="82"/>
        <v>OK</v>
      </c>
      <c r="X505" t="str">
        <f t="shared" si="83"/>
        <v>OK</v>
      </c>
      <c r="Y505">
        <f t="shared" si="77"/>
        <v>0.1</v>
      </c>
      <c r="Z505">
        <f t="shared" si="78"/>
        <v>1</v>
      </c>
      <c r="AA505">
        <f t="shared" si="84"/>
        <v>3433.7699999999995</v>
      </c>
      <c r="AB505">
        <f t="shared" si="85"/>
        <v>10594.08</v>
      </c>
      <c r="AC505">
        <f t="shared" si="86"/>
        <v>7</v>
      </c>
      <c r="AD505" t="str">
        <f t="shared" si="79"/>
        <v>South</v>
      </c>
      <c r="AE505" t="str">
        <f t="shared" si="87"/>
        <v>Clean</v>
      </c>
      <c r="AF505" t="str">
        <f t="shared" si="80"/>
        <v>Standard Class</v>
      </c>
    </row>
    <row r="506" spans="1:32">
      <c r="A506" t="s">
        <v>5114</v>
      </c>
      <c r="B506" s="4">
        <v>45993</v>
      </c>
      <c r="C506" s="4">
        <v>45705</v>
      </c>
      <c r="D506" t="s">
        <v>5115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  <c r="V506" t="str">
        <f t="shared" si="81"/>
        <v>February</v>
      </c>
      <c r="W506" s="5" t="str">
        <f t="shared" si="82"/>
        <v>Invalid</v>
      </c>
      <c r="X506" t="str">
        <f t="shared" si="83"/>
        <v>OK</v>
      </c>
      <c r="Y506">
        <f t="shared" si="77"/>
        <v>0</v>
      </c>
      <c r="Z506">
        <f t="shared" si="78"/>
        <v>1</v>
      </c>
      <c r="AA506">
        <f t="shared" si="84"/>
        <v>2888.26</v>
      </c>
      <c r="AB506">
        <f t="shared" si="85"/>
        <v>17312.48</v>
      </c>
      <c r="AC506" s="5">
        <f t="shared" si="86"/>
        <v>-288</v>
      </c>
      <c r="AD506" t="str">
        <f t="shared" si="79"/>
        <v>West</v>
      </c>
      <c r="AE506" t="str">
        <f t="shared" si="87"/>
        <v>Invalid</v>
      </c>
      <c r="AF506" t="str">
        <f t="shared" si="80"/>
        <v>Standard Class</v>
      </c>
    </row>
    <row r="507" spans="1:32">
      <c r="A507" t="s">
        <v>5116</v>
      </c>
      <c r="B507" s="4">
        <v>45546</v>
      </c>
      <c r="C507" s="4">
        <v>45610</v>
      </c>
      <c r="D507" t="s">
        <v>5117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  <c r="V507" t="str">
        <f t="shared" si="81"/>
        <v>November</v>
      </c>
      <c r="W507" t="str">
        <f t="shared" si="82"/>
        <v>OK</v>
      </c>
      <c r="X507" t="str">
        <f t="shared" si="83"/>
        <v>OK</v>
      </c>
      <c r="Y507">
        <f t="shared" si="77"/>
        <v>0.2</v>
      </c>
      <c r="Z507">
        <f t="shared" si="78"/>
        <v>1</v>
      </c>
      <c r="AA507">
        <f t="shared" si="84"/>
        <v>4262.4880000000012</v>
      </c>
      <c r="AB507">
        <f t="shared" si="85"/>
        <v>17555.688000000002</v>
      </c>
      <c r="AC507">
        <f t="shared" si="86"/>
        <v>64</v>
      </c>
      <c r="AD507" t="str">
        <f t="shared" si="79"/>
        <v>West</v>
      </c>
      <c r="AE507" t="str">
        <f t="shared" si="87"/>
        <v>Clean</v>
      </c>
      <c r="AF507" t="str">
        <f t="shared" si="80"/>
        <v>First Class</v>
      </c>
    </row>
    <row r="508" spans="1:32">
      <c r="A508" t="s">
        <v>5118</v>
      </c>
      <c r="B508" s="4">
        <v>45641</v>
      </c>
      <c r="C508" s="4">
        <v>45641</v>
      </c>
      <c r="D508" t="s">
        <v>5119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  <c r="V508" t="str">
        <f t="shared" si="81"/>
        <v>December</v>
      </c>
      <c r="W508" s="5" t="str">
        <f t="shared" si="82"/>
        <v>Invalid</v>
      </c>
      <c r="X508" t="str">
        <f t="shared" si="83"/>
        <v>OK</v>
      </c>
      <c r="Y508">
        <f t="shared" si="77"/>
        <v>0.1</v>
      </c>
      <c r="Z508">
        <f t="shared" si="78"/>
        <v>1</v>
      </c>
      <c r="AA508">
        <f t="shared" si="84"/>
        <v>363.56999999999982</v>
      </c>
      <c r="AB508">
        <f t="shared" si="85"/>
        <v>1205.6399999999999</v>
      </c>
      <c r="AC508">
        <f t="shared" si="86"/>
        <v>0</v>
      </c>
      <c r="AD508" t="str">
        <f t="shared" si="79"/>
        <v>North</v>
      </c>
      <c r="AE508" t="str">
        <f t="shared" si="87"/>
        <v>Clean</v>
      </c>
      <c r="AF508" t="str">
        <f t="shared" si="80"/>
        <v>First Class</v>
      </c>
    </row>
    <row r="509" spans="1:32">
      <c r="A509" t="s">
        <v>5120</v>
      </c>
      <c r="B509" s="4">
        <v>45762</v>
      </c>
      <c r="C509" s="4">
        <v>45769</v>
      </c>
      <c r="D509" t="s">
        <v>5121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  <c r="V509" t="str">
        <f t="shared" si="81"/>
        <v>April</v>
      </c>
      <c r="W509" t="str">
        <f t="shared" si="82"/>
        <v>OK</v>
      </c>
      <c r="X509" t="str">
        <f t="shared" si="83"/>
        <v>OK</v>
      </c>
      <c r="Y509">
        <f t="shared" si="77"/>
        <v>0.25</v>
      </c>
      <c r="Z509">
        <f t="shared" si="78"/>
        <v>1</v>
      </c>
      <c r="AA509">
        <f t="shared" si="84"/>
        <v>2156.91</v>
      </c>
      <c r="AB509">
        <f t="shared" si="85"/>
        <v>8971.26</v>
      </c>
      <c r="AC509">
        <f t="shared" si="86"/>
        <v>7</v>
      </c>
      <c r="AD509" t="str">
        <f t="shared" si="79"/>
        <v>North</v>
      </c>
      <c r="AE509" t="str">
        <f t="shared" si="87"/>
        <v>Clean</v>
      </c>
      <c r="AF509" t="str">
        <f t="shared" si="80"/>
        <v>Same Day</v>
      </c>
    </row>
    <row r="510" spans="1:32">
      <c r="A510" t="s">
        <v>5122</v>
      </c>
      <c r="B510" s="4">
        <v>45382</v>
      </c>
      <c r="C510" s="4">
        <v>45389</v>
      </c>
      <c r="D510" t="s">
        <v>5123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  <c r="V510" t="str">
        <f t="shared" si="81"/>
        <v>April</v>
      </c>
      <c r="W510" t="str">
        <f t="shared" si="82"/>
        <v>OK</v>
      </c>
      <c r="X510" t="str">
        <f t="shared" si="83"/>
        <v>OK</v>
      </c>
      <c r="Y510">
        <f t="shared" si="77"/>
        <v>0</v>
      </c>
      <c r="Z510">
        <f t="shared" si="78"/>
        <v>1</v>
      </c>
      <c r="AA510">
        <f t="shared" si="84"/>
        <v>3144.37</v>
      </c>
      <c r="AB510">
        <f t="shared" si="85"/>
        <v>7324</v>
      </c>
      <c r="AC510">
        <f t="shared" si="86"/>
        <v>7</v>
      </c>
      <c r="AD510" t="str">
        <f t="shared" si="79"/>
        <v>North</v>
      </c>
      <c r="AE510" t="str">
        <f t="shared" si="87"/>
        <v>Clean</v>
      </c>
      <c r="AF510" t="str">
        <f t="shared" si="80"/>
        <v>Second Class</v>
      </c>
    </row>
    <row r="511" spans="1:32">
      <c r="A511" t="s">
        <v>5124</v>
      </c>
      <c r="B511" s="4">
        <v>45996</v>
      </c>
      <c r="C511" s="4">
        <v>45791</v>
      </c>
      <c r="D511" t="s">
        <v>5125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  <c r="V511" t="str">
        <f t="shared" si="81"/>
        <v>May</v>
      </c>
      <c r="W511" s="5" t="str">
        <f t="shared" si="82"/>
        <v>Invalid</v>
      </c>
      <c r="X511" t="str">
        <f t="shared" si="83"/>
        <v>OK</v>
      </c>
      <c r="Y511">
        <f t="shared" si="77"/>
        <v>0.2</v>
      </c>
      <c r="Z511">
        <f t="shared" si="78"/>
        <v>1</v>
      </c>
      <c r="AA511">
        <f t="shared" si="84"/>
        <v>6020.3159999999989</v>
      </c>
      <c r="AB511">
        <f t="shared" si="85"/>
        <v>23241.216</v>
      </c>
      <c r="AC511" s="5">
        <f t="shared" si="86"/>
        <v>-205</v>
      </c>
      <c r="AD511" t="str">
        <f t="shared" si="79"/>
        <v>West</v>
      </c>
      <c r="AE511" t="str">
        <f t="shared" si="87"/>
        <v>Invalid</v>
      </c>
      <c r="AF511" t="str">
        <f t="shared" si="80"/>
        <v>Same Day</v>
      </c>
    </row>
    <row r="512" spans="1:32">
      <c r="A512" t="s">
        <v>5126</v>
      </c>
      <c r="B512" s="4">
        <v>45583</v>
      </c>
      <c r="C512" s="4">
        <v>45586</v>
      </c>
      <c r="D512" t="s">
        <v>5127</v>
      </c>
      <c r="E512" t="s">
        <v>162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  <c r="V512" t="str">
        <f t="shared" si="81"/>
        <v>October</v>
      </c>
      <c r="W512" t="str">
        <f t="shared" si="82"/>
        <v>OK</v>
      </c>
      <c r="X512" t="str">
        <f t="shared" si="83"/>
        <v>OK</v>
      </c>
      <c r="Y512">
        <f t="shared" si="77"/>
        <v>0</v>
      </c>
      <c r="Z512">
        <f t="shared" si="78"/>
        <v>1</v>
      </c>
      <c r="AA512">
        <f t="shared" si="84"/>
        <v>1592.0600000000004</v>
      </c>
      <c r="AB512">
        <f t="shared" si="85"/>
        <v>8477.02</v>
      </c>
      <c r="AC512">
        <f t="shared" si="86"/>
        <v>3</v>
      </c>
      <c r="AD512" t="str">
        <f t="shared" si="79"/>
        <v>South</v>
      </c>
      <c r="AE512" t="str">
        <f t="shared" si="87"/>
        <v>Clean</v>
      </c>
      <c r="AF512" t="str">
        <f t="shared" si="80"/>
        <v>Second Class</v>
      </c>
    </row>
    <row r="513" spans="1:32">
      <c r="A513" t="s">
        <v>5128</v>
      </c>
      <c r="B513" s="4">
        <v>45588</v>
      </c>
      <c r="C513" s="4">
        <v>45591</v>
      </c>
      <c r="D513" t="s">
        <v>5129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  <c r="V513" t="str">
        <f t="shared" si="81"/>
        <v>October</v>
      </c>
      <c r="W513" t="str">
        <f t="shared" si="82"/>
        <v>OK</v>
      </c>
      <c r="X513" t="str">
        <f t="shared" si="83"/>
        <v>OK</v>
      </c>
      <c r="Y513">
        <f t="shared" si="77"/>
        <v>0.25</v>
      </c>
      <c r="Z513">
        <f t="shared" si="78"/>
        <v>1</v>
      </c>
      <c r="AA513">
        <f t="shared" si="84"/>
        <v>1585.6725000000001</v>
      </c>
      <c r="AB513">
        <f t="shared" si="85"/>
        <v>3673.8225000000002</v>
      </c>
      <c r="AC513">
        <f t="shared" si="86"/>
        <v>3</v>
      </c>
      <c r="AD513" t="str">
        <f t="shared" si="79"/>
        <v>West</v>
      </c>
      <c r="AE513" t="str">
        <f t="shared" si="87"/>
        <v>Clean</v>
      </c>
      <c r="AF513" t="str">
        <f t="shared" si="80"/>
        <v>Standard Class</v>
      </c>
    </row>
    <row r="514" spans="1:32">
      <c r="A514" t="s">
        <v>5130</v>
      </c>
      <c r="B514" s="4">
        <v>45691</v>
      </c>
      <c r="C514" s="4">
        <v>45719</v>
      </c>
      <c r="D514" t="s">
        <v>4873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  <c r="V514" t="str">
        <f t="shared" si="81"/>
        <v>March</v>
      </c>
      <c r="W514" t="str">
        <f t="shared" si="82"/>
        <v>OK</v>
      </c>
      <c r="X514" t="str">
        <f t="shared" si="83"/>
        <v>OK</v>
      </c>
      <c r="Y514">
        <f t="shared" ref="Y514:Y577" si="88">IF(P514 ="",0,P514)</f>
        <v>0.25</v>
      </c>
      <c r="Z514">
        <f t="shared" ref="Z514:Z577" si="89">COUNTIF(A:A,A514)</f>
        <v>1</v>
      </c>
      <c r="AA514">
        <f t="shared" si="84"/>
        <v>2678.3849999999993</v>
      </c>
      <c r="AB514">
        <f t="shared" si="85"/>
        <v>6047.1749999999993</v>
      </c>
      <c r="AC514">
        <f t="shared" si="86"/>
        <v>28</v>
      </c>
      <c r="AD514" t="str">
        <f t="shared" ref="AD514:AD577" si="90">IF(G514="","Unknown",G514)</f>
        <v>South</v>
      </c>
      <c r="AE514" t="str">
        <f t="shared" si="87"/>
        <v>Clean</v>
      </c>
      <c r="AF514" t="str">
        <f t="shared" ref="AF514:AF577" si="91">IF(M514="","Unknown",M514)</f>
        <v>Second Class</v>
      </c>
    </row>
    <row r="515" spans="1:32">
      <c r="A515" t="s">
        <v>5131</v>
      </c>
      <c r="B515" s="4">
        <v>45835</v>
      </c>
      <c r="C515" s="4">
        <v>45695</v>
      </c>
      <c r="D515" t="s">
        <v>5132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  <c r="V515" t="str">
        <f t="shared" ref="V515:V578" si="92">TEXT(C515,"MMMM")</f>
        <v>February</v>
      </c>
      <c r="W515" s="5" t="str">
        <f t="shared" ref="W515:W578" si="93">IF(B515&lt;C515,"OK","Invalid")</f>
        <v>Invalid</v>
      </c>
      <c r="X515" t="str">
        <f t="shared" ref="X515:X578" si="94">IF(P515&lt;0,"Negative Discount","OK")</f>
        <v>OK</v>
      </c>
      <c r="Y515">
        <f t="shared" si="88"/>
        <v>0.1</v>
      </c>
      <c r="Z515">
        <f t="shared" si="89"/>
        <v>1</v>
      </c>
      <c r="AA515">
        <f t="shared" ref="AA515:AA578" si="95">AB515-R515</f>
        <v>1848.786000000001</v>
      </c>
      <c r="AB515">
        <f t="shared" ref="AB515:AB578" si="96">N515*O515*(1-Y515)</f>
        <v>5937.246000000001</v>
      </c>
      <c r="AC515" s="5">
        <f t="shared" ref="AC515:AC578" si="97">C515-B515</f>
        <v>-140</v>
      </c>
      <c r="AD515" t="str">
        <f t="shared" si="90"/>
        <v>South</v>
      </c>
      <c r="AE515" t="str">
        <f t="shared" ref="AE515:AE578" si="98">IF(OR(P515&lt;0,P515&gt;1,C515&lt;B515),"Invalid",IF(OR(G515="Unknown",M515="Unknown"),"Warning","Clean"))</f>
        <v>Invalid</v>
      </c>
      <c r="AF515" t="str">
        <f t="shared" si="91"/>
        <v>First Class</v>
      </c>
    </row>
    <row r="516" spans="1:32">
      <c r="A516" t="s">
        <v>5133</v>
      </c>
      <c r="B516" s="4">
        <v>45614</v>
      </c>
      <c r="C516" s="4">
        <v>45618</v>
      </c>
      <c r="D516" t="s">
        <v>5134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  <c r="V516" t="str">
        <f t="shared" si="92"/>
        <v>November</v>
      </c>
      <c r="W516" t="str">
        <f t="shared" si="93"/>
        <v>OK</v>
      </c>
      <c r="X516" t="str">
        <f t="shared" si="94"/>
        <v>OK</v>
      </c>
      <c r="Y516">
        <f t="shared" si="88"/>
        <v>0.1</v>
      </c>
      <c r="Z516">
        <f t="shared" si="89"/>
        <v>1</v>
      </c>
      <c r="AA516">
        <f t="shared" si="95"/>
        <v>9229.1959999999999</v>
      </c>
      <c r="AB516">
        <f t="shared" si="96"/>
        <v>20913.876</v>
      </c>
      <c r="AC516">
        <f t="shared" si="97"/>
        <v>4</v>
      </c>
      <c r="AD516" t="str">
        <f t="shared" si="90"/>
        <v>South</v>
      </c>
      <c r="AE516" t="str">
        <f t="shared" si="98"/>
        <v>Clean</v>
      </c>
      <c r="AF516" t="str">
        <f t="shared" si="91"/>
        <v>Standard Class</v>
      </c>
    </row>
    <row r="517" spans="1:32">
      <c r="A517" t="s">
        <v>5135</v>
      </c>
      <c r="B517" s="4">
        <v>45965</v>
      </c>
      <c r="C517" s="4">
        <v>45758</v>
      </c>
      <c r="D517" t="s">
        <v>5136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  <c r="V517" t="str">
        <f t="shared" si="92"/>
        <v>April</v>
      </c>
      <c r="W517" s="5" t="str">
        <f t="shared" si="93"/>
        <v>Invalid</v>
      </c>
      <c r="X517" s="5" t="str">
        <f t="shared" si="94"/>
        <v>Negative Discount</v>
      </c>
      <c r="Y517">
        <f t="shared" si="88"/>
        <v>-7.0000000000000007E-2</v>
      </c>
      <c r="Z517">
        <f t="shared" si="89"/>
        <v>1</v>
      </c>
      <c r="AA517">
        <f t="shared" si="95"/>
        <v>2687.1743000000006</v>
      </c>
      <c r="AB517">
        <f t="shared" si="96"/>
        <v>4770.5843000000004</v>
      </c>
      <c r="AC517" s="5">
        <f t="shared" si="97"/>
        <v>-207</v>
      </c>
      <c r="AD517" t="str">
        <f t="shared" si="90"/>
        <v>North</v>
      </c>
      <c r="AE517" t="str">
        <f t="shared" si="98"/>
        <v>Invalid</v>
      </c>
      <c r="AF517" t="str">
        <f t="shared" si="91"/>
        <v>Standard Class</v>
      </c>
    </row>
    <row r="518" spans="1:32">
      <c r="A518" t="s">
        <v>5137</v>
      </c>
      <c r="B518" s="4">
        <v>45563</v>
      </c>
      <c r="C518" s="4">
        <v>45569</v>
      </c>
      <c r="D518" t="s">
        <v>5138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  <c r="V518" t="str">
        <f t="shared" si="92"/>
        <v>October</v>
      </c>
      <c r="W518" t="str">
        <f t="shared" si="93"/>
        <v>OK</v>
      </c>
      <c r="X518" t="str">
        <f t="shared" si="94"/>
        <v>OK</v>
      </c>
      <c r="Y518">
        <f t="shared" si="88"/>
        <v>0</v>
      </c>
      <c r="Z518">
        <f t="shared" si="89"/>
        <v>1</v>
      </c>
      <c r="AA518">
        <f t="shared" si="95"/>
        <v>647.3599999999999</v>
      </c>
      <c r="AB518">
        <f t="shared" si="96"/>
        <v>2233.1799999999998</v>
      </c>
      <c r="AC518">
        <f t="shared" si="97"/>
        <v>6</v>
      </c>
      <c r="AD518" t="str">
        <f t="shared" si="90"/>
        <v>North</v>
      </c>
      <c r="AE518" t="str">
        <f t="shared" si="98"/>
        <v>Clean</v>
      </c>
      <c r="AF518" t="str">
        <f t="shared" si="91"/>
        <v>Standard Class</v>
      </c>
    </row>
    <row r="519" spans="1:32">
      <c r="A519" t="s">
        <v>5139</v>
      </c>
      <c r="B519" s="4">
        <v>45802</v>
      </c>
      <c r="C519" s="4">
        <v>45804</v>
      </c>
      <c r="D519" t="s">
        <v>5140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  <c r="V519" t="str">
        <f t="shared" si="92"/>
        <v>May</v>
      </c>
      <c r="W519" t="str">
        <f t="shared" si="93"/>
        <v>OK</v>
      </c>
      <c r="X519" t="str">
        <f t="shared" si="94"/>
        <v>OK</v>
      </c>
      <c r="Y519">
        <f t="shared" si="88"/>
        <v>0.2</v>
      </c>
      <c r="Z519">
        <f t="shared" si="89"/>
        <v>1</v>
      </c>
      <c r="AA519">
        <f t="shared" si="95"/>
        <v>2655.8380000000016</v>
      </c>
      <c r="AB519">
        <f t="shared" si="96"/>
        <v>11890.368000000002</v>
      </c>
      <c r="AC519">
        <f t="shared" si="97"/>
        <v>2</v>
      </c>
      <c r="AD519" t="str">
        <f t="shared" si="90"/>
        <v>East</v>
      </c>
      <c r="AE519" t="str">
        <f t="shared" si="98"/>
        <v>Clean</v>
      </c>
      <c r="AF519" t="str">
        <f t="shared" si="91"/>
        <v>Second Class</v>
      </c>
    </row>
    <row r="520" spans="1:32">
      <c r="A520" t="s">
        <v>5141</v>
      </c>
      <c r="B520" s="4">
        <v>45777</v>
      </c>
      <c r="C520" s="4">
        <v>45773</v>
      </c>
      <c r="D520" t="s">
        <v>5142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  <c r="V520" t="str">
        <f t="shared" si="92"/>
        <v>April</v>
      </c>
      <c r="W520" s="5" t="str">
        <f t="shared" si="93"/>
        <v>Invalid</v>
      </c>
      <c r="X520" t="str">
        <f t="shared" si="94"/>
        <v>OK</v>
      </c>
      <c r="Y520">
        <f t="shared" si="88"/>
        <v>0.25</v>
      </c>
      <c r="Z520">
        <f t="shared" si="89"/>
        <v>1</v>
      </c>
      <c r="AA520">
        <f t="shared" si="95"/>
        <v>1887.2124999999987</v>
      </c>
      <c r="AB520">
        <f t="shared" si="96"/>
        <v>8421.682499999999</v>
      </c>
      <c r="AC520" s="5">
        <f t="shared" si="97"/>
        <v>-4</v>
      </c>
      <c r="AD520" t="str">
        <f t="shared" si="90"/>
        <v>East</v>
      </c>
      <c r="AE520" t="str">
        <f t="shared" si="98"/>
        <v>Invalid</v>
      </c>
      <c r="AF520" t="str">
        <f t="shared" si="91"/>
        <v>First Class</v>
      </c>
    </row>
    <row r="521" spans="1:32">
      <c r="A521" t="s">
        <v>5143</v>
      </c>
      <c r="B521" s="4">
        <v>45841</v>
      </c>
      <c r="C521" s="4">
        <v>45845</v>
      </c>
      <c r="D521" t="s">
        <v>5144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  <c r="V521" t="str">
        <f t="shared" si="92"/>
        <v>July</v>
      </c>
      <c r="W521" t="str">
        <f t="shared" si="93"/>
        <v>OK</v>
      </c>
      <c r="X521" t="str">
        <f t="shared" si="94"/>
        <v>OK</v>
      </c>
      <c r="Y521">
        <f t="shared" si="88"/>
        <v>0.2</v>
      </c>
      <c r="Z521">
        <f t="shared" si="89"/>
        <v>1</v>
      </c>
      <c r="AA521">
        <f t="shared" si="95"/>
        <v>5111.0920000000006</v>
      </c>
      <c r="AB521">
        <f t="shared" si="96"/>
        <v>13968.672</v>
      </c>
      <c r="AC521">
        <f t="shared" si="97"/>
        <v>4</v>
      </c>
      <c r="AD521" t="str">
        <f t="shared" si="90"/>
        <v>North</v>
      </c>
      <c r="AE521" t="str">
        <f t="shared" si="98"/>
        <v>Clean</v>
      </c>
      <c r="AF521" t="str">
        <f t="shared" si="91"/>
        <v>Standard Class</v>
      </c>
    </row>
    <row r="522" spans="1:32">
      <c r="A522" t="s">
        <v>5145</v>
      </c>
      <c r="B522" s="4">
        <v>45489</v>
      </c>
      <c r="C522" s="4">
        <v>45496</v>
      </c>
      <c r="D522" t="s">
        <v>5146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  <c r="V522" t="str">
        <f t="shared" si="92"/>
        <v>July</v>
      </c>
      <c r="W522" t="str">
        <f t="shared" si="93"/>
        <v>OK</v>
      </c>
      <c r="X522" t="str">
        <f t="shared" si="94"/>
        <v>OK</v>
      </c>
      <c r="Y522">
        <f t="shared" si="88"/>
        <v>0.05</v>
      </c>
      <c r="Z522">
        <f t="shared" si="89"/>
        <v>1</v>
      </c>
      <c r="AA522">
        <f t="shared" si="95"/>
        <v>715.96449999999993</v>
      </c>
      <c r="AB522">
        <f t="shared" si="96"/>
        <v>1611.1144999999999</v>
      </c>
      <c r="AC522">
        <f t="shared" si="97"/>
        <v>7</v>
      </c>
      <c r="AD522" t="str">
        <f t="shared" si="90"/>
        <v>South</v>
      </c>
      <c r="AE522" t="str">
        <f t="shared" si="98"/>
        <v>Clean</v>
      </c>
      <c r="AF522" t="str">
        <f t="shared" si="91"/>
        <v>Same Day</v>
      </c>
    </row>
    <row r="523" spans="1:32">
      <c r="A523" t="s">
        <v>5147</v>
      </c>
      <c r="B523" s="4">
        <v>45741</v>
      </c>
      <c r="C523" s="4">
        <v>45748</v>
      </c>
      <c r="D523" t="s">
        <v>5148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  <c r="V523" t="str">
        <f t="shared" si="92"/>
        <v>April</v>
      </c>
      <c r="W523" t="str">
        <f t="shared" si="93"/>
        <v>OK</v>
      </c>
      <c r="X523" t="str">
        <f t="shared" si="94"/>
        <v>OK</v>
      </c>
      <c r="Y523">
        <f t="shared" si="88"/>
        <v>0.05</v>
      </c>
      <c r="Z523">
        <f t="shared" si="89"/>
        <v>1</v>
      </c>
      <c r="AA523">
        <f t="shared" si="95"/>
        <v>3310.5069999999996</v>
      </c>
      <c r="AB523">
        <f t="shared" si="96"/>
        <v>12495.027</v>
      </c>
      <c r="AC523">
        <f t="shared" si="97"/>
        <v>7</v>
      </c>
      <c r="AD523" t="str">
        <f t="shared" si="90"/>
        <v>North</v>
      </c>
      <c r="AE523" t="str">
        <f t="shared" si="98"/>
        <v>Clean</v>
      </c>
      <c r="AF523" t="str">
        <f t="shared" si="91"/>
        <v>Second Class</v>
      </c>
    </row>
    <row r="524" spans="1:32">
      <c r="A524" t="s">
        <v>5149</v>
      </c>
      <c r="B524" s="4">
        <v>45716</v>
      </c>
      <c r="C524" s="4">
        <v>45724</v>
      </c>
      <c r="D524" t="s">
        <v>5150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  <c r="V524" t="str">
        <f t="shared" si="92"/>
        <v>March</v>
      </c>
      <c r="W524" t="str">
        <f t="shared" si="93"/>
        <v>OK</v>
      </c>
      <c r="X524" t="str">
        <f t="shared" si="94"/>
        <v>OK</v>
      </c>
      <c r="Y524">
        <f t="shared" si="88"/>
        <v>0</v>
      </c>
      <c r="Z524">
        <f t="shared" si="89"/>
        <v>1</v>
      </c>
      <c r="AA524">
        <f t="shared" si="95"/>
        <v>8495.0299999999988</v>
      </c>
      <c r="AB524">
        <f t="shared" si="96"/>
        <v>33034.86</v>
      </c>
      <c r="AC524">
        <f t="shared" si="97"/>
        <v>8</v>
      </c>
      <c r="AD524" t="str">
        <f t="shared" si="90"/>
        <v>East</v>
      </c>
      <c r="AE524" t="str">
        <f t="shared" si="98"/>
        <v>Clean</v>
      </c>
      <c r="AF524" t="str">
        <f t="shared" si="91"/>
        <v>First Class</v>
      </c>
    </row>
    <row r="525" spans="1:32">
      <c r="A525" t="s">
        <v>5151</v>
      </c>
      <c r="B525" s="4">
        <v>45384</v>
      </c>
      <c r="C525" s="4">
        <v>45385</v>
      </c>
      <c r="D525" t="s">
        <v>5152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  <c r="V525" t="str">
        <f t="shared" si="92"/>
        <v>April</v>
      </c>
      <c r="W525" t="str">
        <f t="shared" si="93"/>
        <v>OK</v>
      </c>
      <c r="X525" t="str">
        <f t="shared" si="94"/>
        <v>OK</v>
      </c>
      <c r="Y525">
        <f t="shared" si="88"/>
        <v>0</v>
      </c>
      <c r="Z525">
        <f t="shared" si="89"/>
        <v>1</v>
      </c>
      <c r="AA525">
        <f t="shared" si="95"/>
        <v>1150.9000000000005</v>
      </c>
      <c r="AB525">
        <f t="shared" si="96"/>
        <v>5805.26</v>
      </c>
      <c r="AC525">
        <f t="shared" si="97"/>
        <v>1</v>
      </c>
      <c r="AD525" t="str">
        <f t="shared" si="90"/>
        <v>West</v>
      </c>
      <c r="AE525" t="str">
        <f t="shared" si="98"/>
        <v>Clean</v>
      </c>
      <c r="AF525" t="str">
        <f t="shared" si="91"/>
        <v>Second Class</v>
      </c>
    </row>
    <row r="526" spans="1:32">
      <c r="A526" t="s">
        <v>5153</v>
      </c>
      <c r="B526" s="4">
        <v>45626</v>
      </c>
      <c r="C526" s="4">
        <v>45627</v>
      </c>
      <c r="D526" t="s">
        <v>5154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  <c r="V526" t="str">
        <f t="shared" si="92"/>
        <v>December</v>
      </c>
      <c r="W526" t="str">
        <f t="shared" si="93"/>
        <v>OK</v>
      </c>
      <c r="X526" t="str">
        <f t="shared" si="94"/>
        <v>OK</v>
      </c>
      <c r="Y526">
        <f t="shared" si="88"/>
        <v>0.1</v>
      </c>
      <c r="Z526">
        <f t="shared" si="89"/>
        <v>1</v>
      </c>
      <c r="AA526">
        <f t="shared" si="95"/>
        <v>12208.226000000002</v>
      </c>
      <c r="AB526">
        <f t="shared" si="96"/>
        <v>34079.616000000002</v>
      </c>
      <c r="AC526">
        <f t="shared" si="97"/>
        <v>1</v>
      </c>
      <c r="AD526" t="str">
        <f t="shared" si="90"/>
        <v>West</v>
      </c>
      <c r="AE526" t="str">
        <f t="shared" si="98"/>
        <v>Clean</v>
      </c>
      <c r="AF526" t="str">
        <f t="shared" si="91"/>
        <v>First Class</v>
      </c>
    </row>
    <row r="527" spans="1:32">
      <c r="A527" t="s">
        <v>5155</v>
      </c>
      <c r="B527" s="4">
        <v>45582</v>
      </c>
      <c r="C527" s="4">
        <v>45582</v>
      </c>
      <c r="D527" t="s">
        <v>5156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  <c r="V527" t="str">
        <f t="shared" si="92"/>
        <v>October</v>
      </c>
      <c r="W527" s="5" t="str">
        <f t="shared" si="93"/>
        <v>Invalid</v>
      </c>
      <c r="X527" t="str">
        <f t="shared" si="94"/>
        <v>OK</v>
      </c>
      <c r="Y527">
        <f t="shared" si="88"/>
        <v>0.1</v>
      </c>
      <c r="Z527">
        <f t="shared" si="89"/>
        <v>1</v>
      </c>
      <c r="AA527">
        <f t="shared" si="95"/>
        <v>4297.3600000000015</v>
      </c>
      <c r="AB527">
        <f t="shared" si="96"/>
        <v>11359.800000000001</v>
      </c>
      <c r="AC527">
        <f t="shared" si="97"/>
        <v>0</v>
      </c>
      <c r="AD527" t="str">
        <f t="shared" si="90"/>
        <v>East</v>
      </c>
      <c r="AE527" t="str">
        <f t="shared" si="98"/>
        <v>Clean</v>
      </c>
      <c r="AF527" t="str">
        <f t="shared" si="91"/>
        <v>Standard Class</v>
      </c>
    </row>
    <row r="528" spans="1:32">
      <c r="A528" t="s">
        <v>5157</v>
      </c>
      <c r="B528" s="4">
        <v>45856</v>
      </c>
      <c r="C528" s="4">
        <v>45859</v>
      </c>
      <c r="D528" t="s">
        <v>5158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  <c r="V528" t="str">
        <f t="shared" si="92"/>
        <v>July</v>
      </c>
      <c r="W528" t="str">
        <f t="shared" si="93"/>
        <v>OK</v>
      </c>
      <c r="X528" t="str">
        <f t="shared" si="94"/>
        <v>OK</v>
      </c>
      <c r="Y528">
        <f t="shared" si="88"/>
        <v>0</v>
      </c>
      <c r="Z528">
        <f t="shared" si="89"/>
        <v>1</v>
      </c>
      <c r="AA528">
        <f t="shared" si="95"/>
        <v>564.08000000000004</v>
      </c>
      <c r="AB528">
        <f t="shared" si="96"/>
        <v>1136.1600000000001</v>
      </c>
      <c r="AC528">
        <f t="shared" si="97"/>
        <v>3</v>
      </c>
      <c r="AD528" t="str">
        <f t="shared" si="90"/>
        <v>East</v>
      </c>
      <c r="AE528" t="str">
        <f t="shared" si="98"/>
        <v>Clean</v>
      </c>
      <c r="AF528" t="str">
        <f t="shared" si="91"/>
        <v>Second Class</v>
      </c>
    </row>
    <row r="529" spans="1:32">
      <c r="A529" t="s">
        <v>5159</v>
      </c>
      <c r="B529" s="4">
        <v>45931</v>
      </c>
      <c r="C529" s="4">
        <v>45935</v>
      </c>
      <c r="D529" t="s">
        <v>5160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  <c r="V529" t="str">
        <f t="shared" si="92"/>
        <v>October</v>
      </c>
      <c r="W529" t="str">
        <f t="shared" si="93"/>
        <v>OK</v>
      </c>
      <c r="X529" t="str">
        <f t="shared" si="94"/>
        <v>OK</v>
      </c>
      <c r="Y529">
        <f t="shared" si="88"/>
        <v>0.15</v>
      </c>
      <c r="Z529">
        <f t="shared" si="89"/>
        <v>1</v>
      </c>
      <c r="AA529">
        <f t="shared" si="95"/>
        <v>3726.1999999999989</v>
      </c>
      <c r="AB529">
        <f t="shared" si="96"/>
        <v>13802.13</v>
      </c>
      <c r="AC529">
        <f t="shared" si="97"/>
        <v>4</v>
      </c>
      <c r="AD529" t="str">
        <f t="shared" si="90"/>
        <v>North</v>
      </c>
      <c r="AE529" t="str">
        <f t="shared" si="98"/>
        <v>Clean</v>
      </c>
      <c r="AF529" t="str">
        <f t="shared" si="91"/>
        <v>First Class</v>
      </c>
    </row>
    <row r="530" spans="1:32">
      <c r="A530" t="s">
        <v>5161</v>
      </c>
      <c r="B530" s="4">
        <v>45483</v>
      </c>
      <c r="C530" s="4">
        <v>45574</v>
      </c>
      <c r="D530" t="s">
        <v>5162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  <c r="V530" t="str">
        <f t="shared" si="92"/>
        <v>October</v>
      </c>
      <c r="W530" t="str">
        <f t="shared" si="93"/>
        <v>OK</v>
      </c>
      <c r="X530" t="str">
        <f t="shared" si="94"/>
        <v>OK</v>
      </c>
      <c r="Y530">
        <f t="shared" si="88"/>
        <v>0.05</v>
      </c>
      <c r="Z530">
        <f t="shared" si="89"/>
        <v>1</v>
      </c>
      <c r="AA530">
        <f t="shared" si="95"/>
        <v>8255.9894999999997</v>
      </c>
      <c r="AB530">
        <f t="shared" si="96"/>
        <v>29558.119500000001</v>
      </c>
      <c r="AC530">
        <f t="shared" si="97"/>
        <v>91</v>
      </c>
      <c r="AD530" t="str">
        <f t="shared" si="90"/>
        <v>South</v>
      </c>
      <c r="AE530" t="str">
        <f t="shared" si="98"/>
        <v>Clean</v>
      </c>
      <c r="AF530" t="str">
        <f t="shared" si="91"/>
        <v>Standard Class</v>
      </c>
    </row>
    <row r="531" spans="1:32">
      <c r="A531" t="s">
        <v>5163</v>
      </c>
      <c r="B531" s="4">
        <v>45445</v>
      </c>
      <c r="C531" s="4">
        <v>45330</v>
      </c>
      <c r="D531" t="s">
        <v>4529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  <c r="V531" t="str">
        <f t="shared" si="92"/>
        <v>February</v>
      </c>
      <c r="W531" s="5" t="str">
        <f t="shared" si="93"/>
        <v>Invalid</v>
      </c>
      <c r="X531" t="str">
        <f t="shared" si="94"/>
        <v>OK</v>
      </c>
      <c r="Y531">
        <f t="shared" si="88"/>
        <v>0</v>
      </c>
      <c r="Z531">
        <f t="shared" si="89"/>
        <v>1</v>
      </c>
      <c r="AA531">
        <f t="shared" si="95"/>
        <v>4253.2900000000009</v>
      </c>
      <c r="AB531">
        <f t="shared" si="96"/>
        <v>16400.25</v>
      </c>
      <c r="AC531" s="5">
        <f t="shared" si="97"/>
        <v>-115</v>
      </c>
      <c r="AD531" t="str">
        <f t="shared" si="90"/>
        <v>East</v>
      </c>
      <c r="AE531" t="str">
        <f t="shared" si="98"/>
        <v>Invalid</v>
      </c>
      <c r="AF531" t="str">
        <f t="shared" si="91"/>
        <v>Second Class</v>
      </c>
    </row>
    <row r="532" spans="1:32">
      <c r="A532" t="s">
        <v>5164</v>
      </c>
      <c r="B532" s="4">
        <v>45807</v>
      </c>
      <c r="C532" s="4">
        <v>45809</v>
      </c>
      <c r="D532" t="s">
        <v>5165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  <c r="V532" t="str">
        <f t="shared" si="92"/>
        <v>June</v>
      </c>
      <c r="W532" t="str">
        <f t="shared" si="93"/>
        <v>OK</v>
      </c>
      <c r="X532" t="str">
        <f t="shared" si="94"/>
        <v>OK</v>
      </c>
      <c r="Y532">
        <f t="shared" si="88"/>
        <v>0.05</v>
      </c>
      <c r="Z532">
        <f t="shared" si="89"/>
        <v>1</v>
      </c>
      <c r="AA532">
        <f t="shared" si="95"/>
        <v>6310.6805000000004</v>
      </c>
      <c r="AB532">
        <f t="shared" si="96"/>
        <v>17053.0605</v>
      </c>
      <c r="AC532">
        <f t="shared" si="97"/>
        <v>2</v>
      </c>
      <c r="AD532" t="str">
        <f t="shared" si="90"/>
        <v>South</v>
      </c>
      <c r="AE532" t="str">
        <f t="shared" si="98"/>
        <v>Clean</v>
      </c>
      <c r="AF532" t="str">
        <f t="shared" si="91"/>
        <v>Standard Class</v>
      </c>
    </row>
    <row r="533" spans="1:32">
      <c r="A533" t="s">
        <v>5166</v>
      </c>
      <c r="B533" s="4">
        <v>45299</v>
      </c>
      <c r="C533" s="4">
        <v>45512</v>
      </c>
      <c r="D533" t="s">
        <v>5167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M533" t="s">
        <v>4187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  <c r="V533" t="str">
        <f t="shared" si="92"/>
        <v>August</v>
      </c>
      <c r="W533" t="str">
        <f t="shared" si="93"/>
        <v>OK</v>
      </c>
      <c r="X533" t="str">
        <f t="shared" si="94"/>
        <v>OK</v>
      </c>
      <c r="Y533">
        <f t="shared" si="88"/>
        <v>0.1</v>
      </c>
      <c r="Z533">
        <f t="shared" si="89"/>
        <v>1</v>
      </c>
      <c r="AA533">
        <f t="shared" si="95"/>
        <v>87.013000000000034</v>
      </c>
      <c r="AB533">
        <f t="shared" si="96"/>
        <v>398.67300000000006</v>
      </c>
      <c r="AC533">
        <f t="shared" si="97"/>
        <v>213</v>
      </c>
      <c r="AD533" t="str">
        <f t="shared" si="90"/>
        <v>West</v>
      </c>
      <c r="AE533" t="str">
        <f t="shared" si="98"/>
        <v>Clean</v>
      </c>
      <c r="AF533" s="5" t="str">
        <f t="shared" si="91"/>
        <v>Unknown</v>
      </c>
    </row>
    <row r="534" spans="1:32">
      <c r="A534" t="s">
        <v>5168</v>
      </c>
      <c r="B534" s="4">
        <v>45787</v>
      </c>
      <c r="C534" s="4">
        <v>45940</v>
      </c>
      <c r="D534" t="s">
        <v>5169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  <c r="V534" t="str">
        <f t="shared" si="92"/>
        <v>October</v>
      </c>
      <c r="W534" t="str">
        <f t="shared" si="93"/>
        <v>OK</v>
      </c>
      <c r="X534" t="str">
        <f t="shared" si="94"/>
        <v>OK</v>
      </c>
      <c r="Y534">
        <f t="shared" si="88"/>
        <v>0.05</v>
      </c>
      <c r="Z534">
        <f t="shared" si="89"/>
        <v>1</v>
      </c>
      <c r="AA534">
        <f t="shared" si="95"/>
        <v>7969.9369999999981</v>
      </c>
      <c r="AB534">
        <f t="shared" si="96"/>
        <v>17862.146999999997</v>
      </c>
      <c r="AC534">
        <f t="shared" si="97"/>
        <v>153</v>
      </c>
      <c r="AD534" t="str">
        <f t="shared" si="90"/>
        <v>East</v>
      </c>
      <c r="AE534" t="str">
        <f t="shared" si="98"/>
        <v>Clean</v>
      </c>
      <c r="AF534" t="str">
        <f t="shared" si="91"/>
        <v>Second Class</v>
      </c>
    </row>
    <row r="535" spans="1:32">
      <c r="A535" t="s">
        <v>5170</v>
      </c>
      <c r="B535" s="4">
        <v>45529</v>
      </c>
      <c r="C535" s="4">
        <v>45536</v>
      </c>
      <c r="D535" t="s">
        <v>5171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  <c r="V535" t="str">
        <f t="shared" si="92"/>
        <v>September</v>
      </c>
      <c r="W535" t="str">
        <f t="shared" si="93"/>
        <v>OK</v>
      </c>
      <c r="X535" t="str">
        <f t="shared" si="94"/>
        <v>OK</v>
      </c>
      <c r="Y535">
        <f t="shared" si="88"/>
        <v>0.25</v>
      </c>
      <c r="Z535">
        <f t="shared" si="89"/>
        <v>1</v>
      </c>
      <c r="AA535">
        <f t="shared" si="95"/>
        <v>41.370000000000346</v>
      </c>
      <c r="AB535">
        <f t="shared" si="96"/>
        <v>2165.8500000000004</v>
      </c>
      <c r="AC535">
        <f t="shared" si="97"/>
        <v>7</v>
      </c>
      <c r="AD535" t="str">
        <f t="shared" si="90"/>
        <v>North</v>
      </c>
      <c r="AE535" t="str">
        <f t="shared" si="98"/>
        <v>Clean</v>
      </c>
      <c r="AF535" t="str">
        <f t="shared" si="91"/>
        <v>Same Day</v>
      </c>
    </row>
    <row r="536" spans="1:32">
      <c r="A536" t="s">
        <v>5172</v>
      </c>
      <c r="B536" s="4">
        <v>45774</v>
      </c>
      <c r="C536" s="4">
        <v>45782</v>
      </c>
      <c r="D536" t="s">
        <v>5173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  <c r="V536" t="str">
        <f t="shared" si="92"/>
        <v>May</v>
      </c>
      <c r="W536" t="str">
        <f t="shared" si="93"/>
        <v>OK</v>
      </c>
      <c r="X536" t="str">
        <f t="shared" si="94"/>
        <v>OK</v>
      </c>
      <c r="Y536">
        <f t="shared" si="88"/>
        <v>0.1</v>
      </c>
      <c r="Z536">
        <f t="shared" si="89"/>
        <v>1</v>
      </c>
      <c r="AA536">
        <f t="shared" si="95"/>
        <v>2562.9040000000005</v>
      </c>
      <c r="AB536">
        <f t="shared" si="96"/>
        <v>14268.204</v>
      </c>
      <c r="AC536">
        <f t="shared" si="97"/>
        <v>8</v>
      </c>
      <c r="AD536" t="str">
        <f t="shared" si="90"/>
        <v>East</v>
      </c>
      <c r="AE536" t="str">
        <f t="shared" si="98"/>
        <v>Clean</v>
      </c>
      <c r="AF536" t="str">
        <f t="shared" si="91"/>
        <v>Second Class</v>
      </c>
    </row>
    <row r="537" spans="1:32">
      <c r="A537" t="s">
        <v>5174</v>
      </c>
      <c r="B537" s="4">
        <v>45431</v>
      </c>
      <c r="C537" s="4">
        <v>45433</v>
      </c>
      <c r="D537" t="s">
        <v>5175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  <c r="V537" t="str">
        <f t="shared" si="92"/>
        <v>May</v>
      </c>
      <c r="W537" t="str">
        <f t="shared" si="93"/>
        <v>OK</v>
      </c>
      <c r="X537" t="str">
        <f t="shared" si="94"/>
        <v>OK</v>
      </c>
      <c r="Y537">
        <f t="shared" si="88"/>
        <v>0.2</v>
      </c>
      <c r="Z537">
        <f t="shared" si="89"/>
        <v>1</v>
      </c>
      <c r="AA537">
        <f t="shared" si="95"/>
        <v>2214.7820000000011</v>
      </c>
      <c r="AB537">
        <f t="shared" si="96"/>
        <v>9602.3520000000008</v>
      </c>
      <c r="AC537">
        <f t="shared" si="97"/>
        <v>2</v>
      </c>
      <c r="AD537" t="str">
        <f t="shared" si="90"/>
        <v>West</v>
      </c>
      <c r="AE537" t="str">
        <f t="shared" si="98"/>
        <v>Clean</v>
      </c>
      <c r="AF537" t="str">
        <f t="shared" si="91"/>
        <v>First Class</v>
      </c>
    </row>
    <row r="538" spans="1:32">
      <c r="A538" t="s">
        <v>5176</v>
      </c>
      <c r="B538" s="4">
        <v>45934</v>
      </c>
      <c r="C538" s="4">
        <v>45764</v>
      </c>
      <c r="D538" t="s">
        <v>5177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  <c r="V538" t="str">
        <f t="shared" si="92"/>
        <v>April</v>
      </c>
      <c r="W538" s="5" t="str">
        <f t="shared" si="93"/>
        <v>Invalid</v>
      </c>
      <c r="X538" t="str">
        <f t="shared" si="94"/>
        <v>OK</v>
      </c>
      <c r="Y538">
        <f t="shared" si="88"/>
        <v>0.25</v>
      </c>
      <c r="Z538">
        <f t="shared" si="89"/>
        <v>1</v>
      </c>
      <c r="AA538">
        <f t="shared" si="95"/>
        <v>7595.9649999999983</v>
      </c>
      <c r="AB538">
        <f t="shared" si="96"/>
        <v>19891.724999999999</v>
      </c>
      <c r="AC538" s="5">
        <f t="shared" si="97"/>
        <v>-170</v>
      </c>
      <c r="AD538" t="str">
        <f t="shared" si="90"/>
        <v>West</v>
      </c>
      <c r="AE538" t="str">
        <f t="shared" si="98"/>
        <v>Invalid</v>
      </c>
      <c r="AF538" t="str">
        <f t="shared" si="91"/>
        <v>First Class</v>
      </c>
    </row>
    <row r="539" spans="1:32">
      <c r="A539" t="s">
        <v>5178</v>
      </c>
      <c r="B539" s="4">
        <v>45313</v>
      </c>
      <c r="C539" s="4">
        <v>45321</v>
      </c>
      <c r="D539" t="s">
        <v>5179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  <c r="V539" t="str">
        <f t="shared" si="92"/>
        <v>January</v>
      </c>
      <c r="W539" t="str">
        <f t="shared" si="93"/>
        <v>OK</v>
      </c>
      <c r="X539" t="str">
        <f t="shared" si="94"/>
        <v>OK</v>
      </c>
      <c r="Y539">
        <f t="shared" si="88"/>
        <v>0.05</v>
      </c>
      <c r="Z539">
        <f t="shared" si="89"/>
        <v>1</v>
      </c>
      <c r="AA539">
        <f t="shared" si="95"/>
        <v>467.05450000000019</v>
      </c>
      <c r="AB539">
        <f t="shared" si="96"/>
        <v>1927.6545000000001</v>
      </c>
      <c r="AC539">
        <f t="shared" si="97"/>
        <v>8</v>
      </c>
      <c r="AD539" t="str">
        <f t="shared" si="90"/>
        <v>North</v>
      </c>
      <c r="AE539" t="str">
        <f t="shared" si="98"/>
        <v>Clean</v>
      </c>
      <c r="AF539" t="str">
        <f t="shared" si="91"/>
        <v>Same Day</v>
      </c>
    </row>
    <row r="540" spans="1:32">
      <c r="A540" t="s">
        <v>5180</v>
      </c>
      <c r="B540" s="4">
        <v>45560</v>
      </c>
      <c r="C540" s="4">
        <v>45566</v>
      </c>
      <c r="D540" t="s">
        <v>5181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  <c r="V540" t="str">
        <f t="shared" si="92"/>
        <v>October</v>
      </c>
      <c r="W540" t="str">
        <f t="shared" si="93"/>
        <v>OK</v>
      </c>
      <c r="X540" t="str">
        <f t="shared" si="94"/>
        <v>OK</v>
      </c>
      <c r="Y540">
        <f t="shared" si="88"/>
        <v>0.15</v>
      </c>
      <c r="Z540">
        <f t="shared" si="89"/>
        <v>1</v>
      </c>
      <c r="AA540">
        <f t="shared" si="95"/>
        <v>5250.1200000000026</v>
      </c>
      <c r="AB540">
        <f t="shared" si="96"/>
        <v>29900.79</v>
      </c>
      <c r="AC540">
        <f t="shared" si="97"/>
        <v>6</v>
      </c>
      <c r="AD540" t="str">
        <f t="shared" si="90"/>
        <v>East</v>
      </c>
      <c r="AE540" t="str">
        <f t="shared" si="98"/>
        <v>Clean</v>
      </c>
      <c r="AF540" t="str">
        <f t="shared" si="91"/>
        <v>Second Class</v>
      </c>
    </row>
    <row r="541" spans="1:32">
      <c r="A541" t="s">
        <v>5182</v>
      </c>
      <c r="B541" s="4">
        <v>45754</v>
      </c>
      <c r="C541" s="4">
        <v>45842</v>
      </c>
      <c r="D541" t="s">
        <v>5183</v>
      </c>
      <c r="E541" t="s">
        <v>40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  <c r="V541" t="str">
        <f t="shared" si="92"/>
        <v>July</v>
      </c>
      <c r="W541" t="str">
        <f t="shared" si="93"/>
        <v>OK</v>
      </c>
      <c r="X541" t="str">
        <f t="shared" si="94"/>
        <v>OK</v>
      </c>
      <c r="Y541">
        <f t="shared" si="88"/>
        <v>0.1</v>
      </c>
      <c r="Z541">
        <f t="shared" si="89"/>
        <v>1</v>
      </c>
      <c r="AA541">
        <f t="shared" si="95"/>
        <v>587.9050000000002</v>
      </c>
      <c r="AB541">
        <f t="shared" si="96"/>
        <v>1904.4450000000002</v>
      </c>
      <c r="AC541">
        <f t="shared" si="97"/>
        <v>88</v>
      </c>
      <c r="AD541" t="str">
        <f t="shared" si="90"/>
        <v>South</v>
      </c>
      <c r="AE541" t="str">
        <f t="shared" si="98"/>
        <v>Clean</v>
      </c>
      <c r="AF541" t="str">
        <f t="shared" si="91"/>
        <v>Standard Class</v>
      </c>
    </row>
    <row r="542" spans="1:32">
      <c r="A542" t="s">
        <v>5184</v>
      </c>
      <c r="B542" s="4">
        <v>45348</v>
      </c>
      <c r="C542" s="4">
        <v>45345</v>
      </c>
      <c r="D542" t="s">
        <v>5185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  <c r="V542" t="str">
        <f t="shared" si="92"/>
        <v>February</v>
      </c>
      <c r="W542" s="5" t="str">
        <f t="shared" si="93"/>
        <v>Invalid</v>
      </c>
      <c r="X542" t="str">
        <f t="shared" si="94"/>
        <v>OK</v>
      </c>
      <c r="Y542">
        <f t="shared" si="88"/>
        <v>0.2</v>
      </c>
      <c r="Z542">
        <f t="shared" si="89"/>
        <v>1</v>
      </c>
      <c r="AA542">
        <f t="shared" si="95"/>
        <v>4453.5220000000045</v>
      </c>
      <c r="AB542">
        <f t="shared" si="96"/>
        <v>21571.592000000004</v>
      </c>
      <c r="AC542" s="5">
        <f t="shared" si="97"/>
        <v>-3</v>
      </c>
      <c r="AD542" t="str">
        <f t="shared" si="90"/>
        <v>West</v>
      </c>
      <c r="AE542" t="str">
        <f t="shared" si="98"/>
        <v>Invalid</v>
      </c>
      <c r="AF542" t="str">
        <f t="shared" si="91"/>
        <v>Standard Class</v>
      </c>
    </row>
    <row r="543" spans="1:32">
      <c r="A543" t="s">
        <v>5186</v>
      </c>
      <c r="B543" s="4">
        <v>45846</v>
      </c>
      <c r="C543" s="4">
        <v>45847</v>
      </c>
      <c r="D543" t="s">
        <v>5187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  <c r="V543" t="str">
        <f t="shared" si="92"/>
        <v>July</v>
      </c>
      <c r="W543" t="str">
        <f t="shared" si="93"/>
        <v>OK</v>
      </c>
      <c r="X543" t="str">
        <f t="shared" si="94"/>
        <v>OK</v>
      </c>
      <c r="Y543">
        <f t="shared" si="88"/>
        <v>0</v>
      </c>
      <c r="Z543">
        <f t="shared" si="89"/>
        <v>1</v>
      </c>
      <c r="AA543">
        <f t="shared" si="95"/>
        <v>2894.59</v>
      </c>
      <c r="AB543">
        <f t="shared" si="96"/>
        <v>8641.68</v>
      </c>
      <c r="AC543">
        <f t="shared" si="97"/>
        <v>1</v>
      </c>
      <c r="AD543" t="str">
        <f t="shared" si="90"/>
        <v>West</v>
      </c>
      <c r="AE543" t="str">
        <f t="shared" si="98"/>
        <v>Clean</v>
      </c>
      <c r="AF543" t="str">
        <f t="shared" si="91"/>
        <v>Same Day</v>
      </c>
    </row>
    <row r="544" spans="1:32">
      <c r="A544" t="s">
        <v>5188</v>
      </c>
      <c r="B544" s="4">
        <v>45552</v>
      </c>
      <c r="C544" s="4">
        <v>45558</v>
      </c>
      <c r="D544" t="s">
        <v>5189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78</v>
      </c>
      <c r="V544" t="str">
        <f t="shared" si="92"/>
        <v>September</v>
      </c>
      <c r="W544" t="str">
        <f t="shared" si="93"/>
        <v>OK</v>
      </c>
      <c r="X544" t="str">
        <f t="shared" si="94"/>
        <v>OK</v>
      </c>
      <c r="Y544">
        <f t="shared" si="88"/>
        <v>0.2</v>
      </c>
      <c r="Z544">
        <f t="shared" si="89"/>
        <v>1</v>
      </c>
      <c r="AA544">
        <f t="shared" si="95"/>
        <v>1394.0480000000007</v>
      </c>
      <c r="AB544">
        <f t="shared" si="96"/>
        <v>9762.2880000000005</v>
      </c>
      <c r="AC544">
        <f t="shared" si="97"/>
        <v>6</v>
      </c>
      <c r="AD544" t="str">
        <f t="shared" si="90"/>
        <v>South</v>
      </c>
      <c r="AE544" t="str">
        <f t="shared" si="98"/>
        <v>Clean</v>
      </c>
      <c r="AF544" t="str">
        <f t="shared" si="91"/>
        <v>Second Class</v>
      </c>
    </row>
    <row r="545" spans="1:32">
      <c r="A545" t="s">
        <v>5190</v>
      </c>
      <c r="B545" s="4">
        <v>45487</v>
      </c>
      <c r="C545" s="4">
        <v>45493</v>
      </c>
      <c r="D545" t="s">
        <v>5191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  <c r="V545" t="str">
        <f t="shared" si="92"/>
        <v>July</v>
      </c>
      <c r="W545" t="str">
        <f t="shared" si="93"/>
        <v>OK</v>
      </c>
      <c r="X545" t="str">
        <f t="shared" si="94"/>
        <v>OK</v>
      </c>
      <c r="Y545">
        <f t="shared" si="88"/>
        <v>0.15</v>
      </c>
      <c r="Z545">
        <f t="shared" si="89"/>
        <v>1</v>
      </c>
      <c r="AA545">
        <f t="shared" si="95"/>
        <v>105.04949999999997</v>
      </c>
      <c r="AB545">
        <f t="shared" si="96"/>
        <v>418.76949999999999</v>
      </c>
      <c r="AC545">
        <f t="shared" si="97"/>
        <v>6</v>
      </c>
      <c r="AD545" t="str">
        <f t="shared" si="90"/>
        <v>East</v>
      </c>
      <c r="AE545" t="str">
        <f t="shared" si="98"/>
        <v>Clean</v>
      </c>
      <c r="AF545" t="str">
        <f t="shared" si="91"/>
        <v>Same Day</v>
      </c>
    </row>
    <row r="546" spans="1:32">
      <c r="A546" t="s">
        <v>5192</v>
      </c>
      <c r="B546" s="4">
        <v>45686</v>
      </c>
      <c r="C546" s="4">
        <v>45779</v>
      </c>
      <c r="D546" t="s">
        <v>5193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  <c r="V546" t="str">
        <f t="shared" si="92"/>
        <v>May</v>
      </c>
      <c r="W546" t="str">
        <f t="shared" si="93"/>
        <v>OK</v>
      </c>
      <c r="X546" t="str">
        <f t="shared" si="94"/>
        <v>OK</v>
      </c>
      <c r="Y546">
        <f t="shared" si="88"/>
        <v>0.25</v>
      </c>
      <c r="Z546">
        <f t="shared" si="89"/>
        <v>1</v>
      </c>
      <c r="AA546">
        <f t="shared" si="95"/>
        <v>3397.380000000001</v>
      </c>
      <c r="AB546">
        <f t="shared" si="96"/>
        <v>21861.72</v>
      </c>
      <c r="AC546">
        <f t="shared" si="97"/>
        <v>93</v>
      </c>
      <c r="AD546" t="str">
        <f t="shared" si="90"/>
        <v>South</v>
      </c>
      <c r="AE546" t="str">
        <f t="shared" si="98"/>
        <v>Clean</v>
      </c>
      <c r="AF546" t="str">
        <f t="shared" si="91"/>
        <v>Same Day</v>
      </c>
    </row>
    <row r="547" spans="1:32">
      <c r="A547" t="s">
        <v>5194</v>
      </c>
      <c r="B547" s="4">
        <v>45439</v>
      </c>
      <c r="C547" s="4">
        <v>45442</v>
      </c>
      <c r="D547" t="s">
        <v>5195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  <c r="V547" t="str">
        <f t="shared" si="92"/>
        <v>May</v>
      </c>
      <c r="W547" t="str">
        <f t="shared" si="93"/>
        <v>OK</v>
      </c>
      <c r="X547" t="str">
        <f t="shared" si="94"/>
        <v>OK</v>
      </c>
      <c r="Y547">
        <f t="shared" si="88"/>
        <v>0.15</v>
      </c>
      <c r="Z547">
        <f t="shared" si="89"/>
        <v>1</v>
      </c>
      <c r="AA547">
        <f t="shared" si="95"/>
        <v>3746.6069999999982</v>
      </c>
      <c r="AB547">
        <f t="shared" si="96"/>
        <v>17260.116999999998</v>
      </c>
      <c r="AC547">
        <f t="shared" si="97"/>
        <v>3</v>
      </c>
      <c r="AD547" t="str">
        <f t="shared" si="90"/>
        <v>East</v>
      </c>
      <c r="AE547" t="str">
        <f t="shared" si="98"/>
        <v>Clean</v>
      </c>
      <c r="AF547" t="str">
        <f t="shared" si="91"/>
        <v>Same Day</v>
      </c>
    </row>
    <row r="548" spans="1:32">
      <c r="A548" t="s">
        <v>5196</v>
      </c>
      <c r="B548" s="4">
        <v>45883</v>
      </c>
      <c r="C548" s="4">
        <v>45891</v>
      </c>
      <c r="D548" t="s">
        <v>5197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30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  <c r="V548" t="str">
        <f t="shared" si="92"/>
        <v>August</v>
      </c>
      <c r="W548" t="str">
        <f t="shared" si="93"/>
        <v>OK</v>
      </c>
      <c r="X548" t="str">
        <f t="shared" si="94"/>
        <v>OK</v>
      </c>
      <c r="Y548">
        <f t="shared" si="88"/>
        <v>0.15</v>
      </c>
      <c r="Z548">
        <f t="shared" si="89"/>
        <v>1</v>
      </c>
      <c r="AA548">
        <f t="shared" si="95"/>
        <v>3944.8824999999988</v>
      </c>
      <c r="AB548">
        <f t="shared" si="96"/>
        <v>10911.322499999998</v>
      </c>
      <c r="AC548">
        <f t="shared" si="97"/>
        <v>8</v>
      </c>
      <c r="AD548" t="str">
        <f t="shared" si="90"/>
        <v>West</v>
      </c>
      <c r="AE548" t="str">
        <f t="shared" si="98"/>
        <v>Clean</v>
      </c>
      <c r="AF548" t="str">
        <f t="shared" si="91"/>
        <v>First Class</v>
      </c>
    </row>
    <row r="549" spans="1:32">
      <c r="A549" t="s">
        <v>5198</v>
      </c>
      <c r="B549" s="4">
        <v>45428</v>
      </c>
      <c r="C549" s="4">
        <v>45435</v>
      </c>
      <c r="D549" t="s">
        <v>5199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  <c r="V549" t="str">
        <f t="shared" si="92"/>
        <v>May</v>
      </c>
      <c r="W549" t="str">
        <f t="shared" si="93"/>
        <v>OK</v>
      </c>
      <c r="X549" t="str">
        <f t="shared" si="94"/>
        <v>OK</v>
      </c>
      <c r="Y549">
        <f t="shared" si="88"/>
        <v>0.1</v>
      </c>
      <c r="Z549">
        <f t="shared" si="89"/>
        <v>1</v>
      </c>
      <c r="AA549">
        <f t="shared" si="95"/>
        <v>4993.8590000000004</v>
      </c>
      <c r="AB549">
        <f t="shared" si="96"/>
        <v>30148.929</v>
      </c>
      <c r="AC549">
        <f t="shared" si="97"/>
        <v>7</v>
      </c>
      <c r="AD549" t="str">
        <f t="shared" si="90"/>
        <v>North</v>
      </c>
      <c r="AE549" t="str">
        <f t="shared" si="98"/>
        <v>Clean</v>
      </c>
      <c r="AF549" t="str">
        <f t="shared" si="91"/>
        <v>Standard Class</v>
      </c>
    </row>
    <row r="550" spans="1:32">
      <c r="A550" t="s">
        <v>5200</v>
      </c>
      <c r="B550" s="4">
        <v>45441</v>
      </c>
      <c r="C550" s="4">
        <v>45441</v>
      </c>
      <c r="D550" t="s">
        <v>5201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  <c r="V550" t="str">
        <f t="shared" si="92"/>
        <v>May</v>
      </c>
      <c r="W550" s="5" t="str">
        <f t="shared" si="93"/>
        <v>Invalid</v>
      </c>
      <c r="X550" t="str">
        <f t="shared" si="94"/>
        <v>OK</v>
      </c>
      <c r="Y550">
        <f t="shared" si="88"/>
        <v>0</v>
      </c>
      <c r="Z550">
        <f t="shared" si="89"/>
        <v>1</v>
      </c>
      <c r="AA550">
        <f t="shared" si="95"/>
        <v>219.39</v>
      </c>
      <c r="AB550">
        <f t="shared" si="96"/>
        <v>1072.01</v>
      </c>
      <c r="AC550">
        <f t="shared" si="97"/>
        <v>0</v>
      </c>
      <c r="AD550" t="str">
        <f t="shared" si="90"/>
        <v>East</v>
      </c>
      <c r="AE550" t="str">
        <f t="shared" si="98"/>
        <v>Clean</v>
      </c>
      <c r="AF550" t="str">
        <f t="shared" si="91"/>
        <v>Same Day</v>
      </c>
    </row>
    <row r="551" spans="1:32">
      <c r="A551" t="s">
        <v>5202</v>
      </c>
      <c r="B551" s="4">
        <v>45971</v>
      </c>
      <c r="C551" s="4">
        <v>45943</v>
      </c>
      <c r="D551" t="s">
        <v>5203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  <c r="V551" t="str">
        <f t="shared" si="92"/>
        <v>October</v>
      </c>
      <c r="W551" s="5" t="str">
        <f t="shared" si="93"/>
        <v>Invalid</v>
      </c>
      <c r="X551" t="str">
        <f t="shared" si="94"/>
        <v>OK</v>
      </c>
      <c r="Y551">
        <f t="shared" si="88"/>
        <v>0.1</v>
      </c>
      <c r="Z551">
        <f t="shared" si="89"/>
        <v>1</v>
      </c>
      <c r="AA551">
        <f t="shared" si="95"/>
        <v>1999.2890000000007</v>
      </c>
      <c r="AB551">
        <f t="shared" si="96"/>
        <v>10271.529</v>
      </c>
      <c r="AC551" s="5">
        <f t="shared" si="97"/>
        <v>-28</v>
      </c>
      <c r="AD551" t="str">
        <f t="shared" si="90"/>
        <v>South</v>
      </c>
      <c r="AE551" t="str">
        <f t="shared" si="98"/>
        <v>Invalid</v>
      </c>
      <c r="AF551" t="str">
        <f t="shared" si="91"/>
        <v>Second Class</v>
      </c>
    </row>
    <row r="552" spans="1:32">
      <c r="A552" t="s">
        <v>5204</v>
      </c>
      <c r="B552" s="4">
        <v>45506</v>
      </c>
      <c r="C552" s="4">
        <v>45573</v>
      </c>
      <c r="D552" t="s">
        <v>5205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  <c r="V552" t="str">
        <f t="shared" si="92"/>
        <v>October</v>
      </c>
      <c r="W552" t="str">
        <f t="shared" si="93"/>
        <v>OK</v>
      </c>
      <c r="X552" t="str">
        <f t="shared" si="94"/>
        <v>OK</v>
      </c>
      <c r="Y552">
        <f t="shared" si="88"/>
        <v>0.2</v>
      </c>
      <c r="Z552">
        <f t="shared" si="89"/>
        <v>1</v>
      </c>
      <c r="AA552">
        <f t="shared" si="95"/>
        <v>3442.3820000000005</v>
      </c>
      <c r="AB552">
        <f t="shared" si="96"/>
        <v>10206.912</v>
      </c>
      <c r="AC552">
        <f t="shared" si="97"/>
        <v>67</v>
      </c>
      <c r="AD552" t="str">
        <f t="shared" si="90"/>
        <v>East</v>
      </c>
      <c r="AE552" t="str">
        <f t="shared" si="98"/>
        <v>Clean</v>
      </c>
      <c r="AF552" t="str">
        <f t="shared" si="91"/>
        <v>Standard Class</v>
      </c>
    </row>
    <row r="553" spans="1:32">
      <c r="A553" t="s">
        <v>5206</v>
      </c>
      <c r="B553" s="4">
        <v>45349</v>
      </c>
      <c r="C553" s="4">
        <v>45349</v>
      </c>
      <c r="D553" t="s">
        <v>5207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  <c r="V553" t="str">
        <f t="shared" si="92"/>
        <v>February</v>
      </c>
      <c r="W553" s="5" t="str">
        <f t="shared" si="93"/>
        <v>Invalid</v>
      </c>
      <c r="X553" t="str">
        <f t="shared" si="94"/>
        <v>OK</v>
      </c>
      <c r="Y553">
        <f t="shared" si="88"/>
        <v>0.15</v>
      </c>
      <c r="Z553">
        <f t="shared" si="89"/>
        <v>1</v>
      </c>
      <c r="AA553">
        <f t="shared" si="95"/>
        <v>2531.5394999999999</v>
      </c>
      <c r="AB553">
        <f t="shared" si="96"/>
        <v>8027.6295</v>
      </c>
      <c r="AC553">
        <f t="shared" si="97"/>
        <v>0</v>
      </c>
      <c r="AD553" t="str">
        <f t="shared" si="90"/>
        <v>East</v>
      </c>
      <c r="AE553" t="str">
        <f t="shared" si="98"/>
        <v>Clean</v>
      </c>
      <c r="AF553" t="str">
        <f t="shared" si="91"/>
        <v>Second Class</v>
      </c>
    </row>
    <row r="554" spans="1:32">
      <c r="A554" t="s">
        <v>5208</v>
      </c>
      <c r="B554" s="4">
        <v>45681</v>
      </c>
      <c r="C554" s="4">
        <v>45687</v>
      </c>
      <c r="D554" t="s">
        <v>5209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s="7">
        <v>7.0000000000000007E-2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  <c r="V554" t="str">
        <f t="shared" si="92"/>
        <v>January</v>
      </c>
      <c r="W554" t="str">
        <f t="shared" si="93"/>
        <v>OK</v>
      </c>
      <c r="X554" t="str">
        <f t="shared" si="94"/>
        <v>OK</v>
      </c>
      <c r="Y554">
        <f t="shared" si="88"/>
        <v>7.0000000000000007E-2</v>
      </c>
      <c r="Z554">
        <f t="shared" si="89"/>
        <v>1</v>
      </c>
      <c r="AA554">
        <f t="shared" si="95"/>
        <v>746.05319999999938</v>
      </c>
      <c r="AB554">
        <f t="shared" si="96"/>
        <v>2325.2231999999995</v>
      </c>
      <c r="AC554">
        <f t="shared" si="97"/>
        <v>6</v>
      </c>
      <c r="AD554" t="str">
        <f t="shared" si="90"/>
        <v>East</v>
      </c>
      <c r="AE554" t="str">
        <f t="shared" si="98"/>
        <v>Clean</v>
      </c>
      <c r="AF554" t="str">
        <f t="shared" si="91"/>
        <v>Standard Class</v>
      </c>
    </row>
    <row r="555" spans="1:32">
      <c r="A555" t="s">
        <v>5210</v>
      </c>
      <c r="B555" s="4">
        <v>45772</v>
      </c>
      <c r="C555" s="4">
        <v>45775</v>
      </c>
      <c r="D555" t="s">
        <v>5211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  <c r="V555" t="str">
        <f t="shared" si="92"/>
        <v>April</v>
      </c>
      <c r="W555" t="str">
        <f t="shared" si="93"/>
        <v>OK</v>
      </c>
      <c r="X555" t="str">
        <f t="shared" si="94"/>
        <v>OK</v>
      </c>
      <c r="Y555">
        <f t="shared" si="88"/>
        <v>0.25</v>
      </c>
      <c r="Z555">
        <f t="shared" si="89"/>
        <v>1</v>
      </c>
      <c r="AA555">
        <f t="shared" si="95"/>
        <v>2115.1725000000006</v>
      </c>
      <c r="AB555">
        <f t="shared" si="96"/>
        <v>8735.2425000000003</v>
      </c>
      <c r="AC555">
        <f t="shared" si="97"/>
        <v>3</v>
      </c>
      <c r="AD555" t="str">
        <f t="shared" si="90"/>
        <v>West</v>
      </c>
      <c r="AE555" t="str">
        <f t="shared" si="98"/>
        <v>Clean</v>
      </c>
      <c r="AF555" t="str">
        <f t="shared" si="91"/>
        <v>First Class</v>
      </c>
    </row>
    <row r="556" spans="1:32">
      <c r="A556" t="s">
        <v>5212</v>
      </c>
      <c r="B556" s="4">
        <v>45636</v>
      </c>
      <c r="C556" s="4">
        <v>45582</v>
      </c>
      <c r="D556" t="s">
        <v>5213</v>
      </c>
      <c r="E556" t="s">
        <v>61</v>
      </c>
      <c r="F556" t="s">
        <v>26</v>
      </c>
      <c r="G556" t="s">
        <v>4187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  <c r="V556" t="str">
        <f t="shared" si="92"/>
        <v>October</v>
      </c>
      <c r="W556" s="5" t="str">
        <f t="shared" si="93"/>
        <v>Invalid</v>
      </c>
      <c r="X556" t="str">
        <f t="shared" si="94"/>
        <v>OK</v>
      </c>
      <c r="Y556">
        <f t="shared" si="88"/>
        <v>0.05</v>
      </c>
      <c r="Z556">
        <f t="shared" si="89"/>
        <v>1</v>
      </c>
      <c r="AA556">
        <f t="shared" si="95"/>
        <v>1239.0160000000001</v>
      </c>
      <c r="AB556">
        <f t="shared" si="96"/>
        <v>4070.636</v>
      </c>
      <c r="AC556" s="5">
        <f t="shared" si="97"/>
        <v>-54</v>
      </c>
      <c r="AD556" s="5" t="str">
        <f t="shared" si="90"/>
        <v>Unknown</v>
      </c>
      <c r="AE556" t="str">
        <f t="shared" si="98"/>
        <v>Invalid</v>
      </c>
      <c r="AF556" t="str">
        <f t="shared" si="91"/>
        <v>Standard Class</v>
      </c>
    </row>
    <row r="557" spans="1:32">
      <c r="A557" t="s">
        <v>5214</v>
      </c>
      <c r="B557" s="4">
        <v>45692</v>
      </c>
      <c r="C557" s="4">
        <v>45698</v>
      </c>
      <c r="D557" t="s">
        <v>5215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  <c r="V557" t="str">
        <f t="shared" si="92"/>
        <v>February</v>
      </c>
      <c r="W557" t="str">
        <f t="shared" si="93"/>
        <v>OK</v>
      </c>
      <c r="X557" t="str">
        <f t="shared" si="94"/>
        <v>OK</v>
      </c>
      <c r="Y557">
        <f t="shared" si="88"/>
        <v>0.05</v>
      </c>
      <c r="Z557">
        <f t="shared" si="89"/>
        <v>1</v>
      </c>
      <c r="AA557">
        <f t="shared" si="95"/>
        <v>2339.8199999999993</v>
      </c>
      <c r="AB557">
        <f t="shared" si="96"/>
        <v>5943.9599999999991</v>
      </c>
      <c r="AC557">
        <f t="shared" si="97"/>
        <v>6</v>
      </c>
      <c r="AD557" t="str">
        <f t="shared" si="90"/>
        <v>South</v>
      </c>
      <c r="AE557" t="str">
        <f t="shared" si="98"/>
        <v>Clean</v>
      </c>
      <c r="AF557" t="str">
        <f t="shared" si="91"/>
        <v>Standard Class</v>
      </c>
    </row>
    <row r="558" spans="1:32">
      <c r="A558" t="s">
        <v>5216</v>
      </c>
      <c r="B558" s="4">
        <v>45466</v>
      </c>
      <c r="C558" s="4">
        <v>45472</v>
      </c>
      <c r="D558" t="s">
        <v>5217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  <c r="V558" t="str">
        <f t="shared" si="92"/>
        <v>June</v>
      </c>
      <c r="W558" t="str">
        <f t="shared" si="93"/>
        <v>OK</v>
      </c>
      <c r="X558" t="str">
        <f t="shared" si="94"/>
        <v>OK</v>
      </c>
      <c r="Y558">
        <f t="shared" si="88"/>
        <v>0</v>
      </c>
      <c r="Z558">
        <f t="shared" si="89"/>
        <v>1</v>
      </c>
      <c r="AA558">
        <f t="shared" si="95"/>
        <v>1391.46</v>
      </c>
      <c r="AB558">
        <f t="shared" si="96"/>
        <v>4426.66</v>
      </c>
      <c r="AC558">
        <f t="shared" si="97"/>
        <v>6</v>
      </c>
      <c r="AD558" t="str">
        <f t="shared" si="90"/>
        <v>North</v>
      </c>
      <c r="AE558" t="str">
        <f t="shared" si="98"/>
        <v>Clean</v>
      </c>
      <c r="AF558" t="str">
        <f t="shared" si="91"/>
        <v>First Class</v>
      </c>
    </row>
    <row r="559" spans="1:32">
      <c r="A559" t="s">
        <v>5218</v>
      </c>
      <c r="B559" s="4">
        <v>45509</v>
      </c>
      <c r="C559" s="4">
        <v>45426</v>
      </c>
      <c r="D559" t="s">
        <v>5219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  <c r="V559" t="str">
        <f t="shared" si="92"/>
        <v>May</v>
      </c>
      <c r="W559" s="5" t="str">
        <f t="shared" si="93"/>
        <v>Invalid</v>
      </c>
      <c r="X559" t="str">
        <f t="shared" si="94"/>
        <v>OK</v>
      </c>
      <c r="Y559">
        <f t="shared" si="88"/>
        <v>0.05</v>
      </c>
      <c r="Z559">
        <f t="shared" si="89"/>
        <v>1</v>
      </c>
      <c r="AA559">
        <f t="shared" si="95"/>
        <v>7257.5229999999974</v>
      </c>
      <c r="AB559">
        <f t="shared" si="96"/>
        <v>32228.882999999998</v>
      </c>
      <c r="AC559" s="5">
        <f t="shared" si="97"/>
        <v>-83</v>
      </c>
      <c r="AD559" t="str">
        <f t="shared" si="90"/>
        <v>North</v>
      </c>
      <c r="AE559" t="str">
        <f t="shared" si="98"/>
        <v>Invalid</v>
      </c>
      <c r="AF559" t="str">
        <f t="shared" si="91"/>
        <v>First Class</v>
      </c>
    </row>
    <row r="560" spans="1:32">
      <c r="A560" t="s">
        <v>5220</v>
      </c>
      <c r="B560" s="4">
        <v>45756</v>
      </c>
      <c r="C560" s="4">
        <v>45756</v>
      </c>
      <c r="D560" t="s">
        <v>5221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  <c r="V560" t="str">
        <f t="shared" si="92"/>
        <v>April</v>
      </c>
      <c r="W560" s="5" t="str">
        <f t="shared" si="93"/>
        <v>Invalid</v>
      </c>
      <c r="X560" t="str">
        <f t="shared" si="94"/>
        <v>OK</v>
      </c>
      <c r="Y560">
        <f t="shared" si="88"/>
        <v>0.2</v>
      </c>
      <c r="Z560">
        <f t="shared" si="89"/>
        <v>1</v>
      </c>
      <c r="AA560">
        <f t="shared" si="95"/>
        <v>5249.880000000001</v>
      </c>
      <c r="AB560">
        <f t="shared" si="96"/>
        <v>19711.68</v>
      </c>
      <c r="AC560">
        <f t="shared" si="97"/>
        <v>0</v>
      </c>
      <c r="AD560" t="str">
        <f t="shared" si="90"/>
        <v>North</v>
      </c>
      <c r="AE560" t="str">
        <f t="shared" si="98"/>
        <v>Clean</v>
      </c>
      <c r="AF560" t="str">
        <f t="shared" si="91"/>
        <v>First Class</v>
      </c>
    </row>
    <row r="561" spans="1:32">
      <c r="A561" t="s">
        <v>5222</v>
      </c>
      <c r="B561" s="4">
        <v>45930</v>
      </c>
      <c r="C561" s="4">
        <v>45937</v>
      </c>
      <c r="D561" t="s">
        <v>5223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  <c r="V561" t="str">
        <f t="shared" si="92"/>
        <v>October</v>
      </c>
      <c r="W561" t="str">
        <f t="shared" si="93"/>
        <v>OK</v>
      </c>
      <c r="X561" t="str">
        <f t="shared" si="94"/>
        <v>OK</v>
      </c>
      <c r="Y561">
        <f t="shared" si="88"/>
        <v>0.1</v>
      </c>
      <c r="Z561">
        <f t="shared" si="89"/>
        <v>1</v>
      </c>
      <c r="AA561">
        <f t="shared" si="95"/>
        <v>5267.6100000000024</v>
      </c>
      <c r="AB561">
        <f t="shared" si="96"/>
        <v>14750.190000000002</v>
      </c>
      <c r="AC561">
        <f t="shared" si="97"/>
        <v>7</v>
      </c>
      <c r="AD561" t="str">
        <f t="shared" si="90"/>
        <v>East</v>
      </c>
      <c r="AE561" t="str">
        <f t="shared" si="98"/>
        <v>Clean</v>
      </c>
      <c r="AF561" t="str">
        <f t="shared" si="91"/>
        <v>Second Class</v>
      </c>
    </row>
    <row r="562" spans="1:32">
      <c r="A562" t="s">
        <v>5224</v>
      </c>
      <c r="B562" s="4">
        <v>45307</v>
      </c>
      <c r="C562" s="4">
        <v>45313</v>
      </c>
      <c r="D562" t="s">
        <v>5225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  <c r="V562" t="str">
        <f t="shared" si="92"/>
        <v>January</v>
      </c>
      <c r="W562" t="str">
        <f t="shared" si="93"/>
        <v>OK</v>
      </c>
      <c r="X562" t="str">
        <f t="shared" si="94"/>
        <v>OK</v>
      </c>
      <c r="Y562">
        <f t="shared" si="88"/>
        <v>0</v>
      </c>
      <c r="Z562">
        <f t="shared" si="89"/>
        <v>1</v>
      </c>
      <c r="AA562">
        <f t="shared" si="95"/>
        <v>281.49999999999989</v>
      </c>
      <c r="AB562">
        <f t="shared" si="96"/>
        <v>1130.1199999999999</v>
      </c>
      <c r="AC562">
        <f t="shared" si="97"/>
        <v>6</v>
      </c>
      <c r="AD562" t="str">
        <f t="shared" si="90"/>
        <v>West</v>
      </c>
      <c r="AE562" t="str">
        <f t="shared" si="98"/>
        <v>Clean</v>
      </c>
      <c r="AF562" t="str">
        <f t="shared" si="91"/>
        <v>Standard Class</v>
      </c>
    </row>
    <row r="563" spans="1:32">
      <c r="A563" t="s">
        <v>5226</v>
      </c>
      <c r="B563" s="4">
        <v>45852</v>
      </c>
      <c r="C563" s="4">
        <v>45856</v>
      </c>
      <c r="D563" t="s">
        <v>5227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  <c r="V563" t="str">
        <f t="shared" si="92"/>
        <v>July</v>
      </c>
      <c r="W563" t="str">
        <f t="shared" si="93"/>
        <v>OK</v>
      </c>
      <c r="X563" t="str">
        <f t="shared" si="94"/>
        <v>OK</v>
      </c>
      <c r="Y563">
        <f t="shared" si="88"/>
        <v>0</v>
      </c>
      <c r="Z563">
        <f t="shared" si="89"/>
        <v>1</v>
      </c>
      <c r="AA563">
        <f t="shared" si="95"/>
        <v>509.0300000000002</v>
      </c>
      <c r="AB563">
        <f t="shared" si="96"/>
        <v>2900.88</v>
      </c>
      <c r="AC563">
        <f t="shared" si="97"/>
        <v>4</v>
      </c>
      <c r="AD563" t="str">
        <f t="shared" si="90"/>
        <v>North</v>
      </c>
      <c r="AE563" t="str">
        <f t="shared" si="98"/>
        <v>Clean</v>
      </c>
      <c r="AF563" t="str">
        <f t="shared" si="91"/>
        <v>First Class</v>
      </c>
    </row>
    <row r="564" spans="1:32">
      <c r="A564" t="s">
        <v>5228</v>
      </c>
      <c r="B564" s="4">
        <v>45570</v>
      </c>
      <c r="C564" s="4">
        <v>45428</v>
      </c>
      <c r="D564" t="s">
        <v>5229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  <c r="V564" t="str">
        <f t="shared" si="92"/>
        <v>May</v>
      </c>
      <c r="W564" s="5" t="str">
        <f t="shared" si="93"/>
        <v>Invalid</v>
      </c>
      <c r="X564" t="str">
        <f t="shared" si="94"/>
        <v>OK</v>
      </c>
      <c r="Y564">
        <f t="shared" si="88"/>
        <v>0.2</v>
      </c>
      <c r="Z564">
        <f t="shared" si="89"/>
        <v>1</v>
      </c>
      <c r="AA564">
        <f t="shared" si="95"/>
        <v>217.13400000000013</v>
      </c>
      <c r="AB564">
        <f t="shared" si="96"/>
        <v>680.62400000000014</v>
      </c>
      <c r="AC564" s="5">
        <f t="shared" si="97"/>
        <v>-142</v>
      </c>
      <c r="AD564" t="str">
        <f t="shared" si="90"/>
        <v>North</v>
      </c>
      <c r="AE564" t="str">
        <f t="shared" si="98"/>
        <v>Invalid</v>
      </c>
      <c r="AF564" t="str">
        <f t="shared" si="91"/>
        <v>Same Day</v>
      </c>
    </row>
    <row r="565" spans="1:32">
      <c r="A565" t="s">
        <v>5230</v>
      </c>
      <c r="B565" s="4">
        <v>45448</v>
      </c>
      <c r="C565" s="4">
        <v>45424</v>
      </c>
      <c r="D565" t="s">
        <v>5231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  <c r="V565" t="str">
        <f t="shared" si="92"/>
        <v>May</v>
      </c>
      <c r="W565" s="5" t="str">
        <f t="shared" si="93"/>
        <v>Invalid</v>
      </c>
      <c r="X565" t="str">
        <f t="shared" si="94"/>
        <v>OK</v>
      </c>
      <c r="Y565">
        <f t="shared" si="88"/>
        <v>0.2</v>
      </c>
      <c r="Z565">
        <f t="shared" si="89"/>
        <v>1</v>
      </c>
      <c r="AA565">
        <f t="shared" si="95"/>
        <v>1076.6540000000005</v>
      </c>
      <c r="AB565">
        <f t="shared" si="96"/>
        <v>5694.9840000000004</v>
      </c>
      <c r="AC565" s="5">
        <f t="shared" si="97"/>
        <v>-24</v>
      </c>
      <c r="AD565" t="str">
        <f t="shared" si="90"/>
        <v>West</v>
      </c>
      <c r="AE565" t="str">
        <f t="shared" si="98"/>
        <v>Invalid</v>
      </c>
      <c r="AF565" t="str">
        <f t="shared" si="91"/>
        <v>Standard Class</v>
      </c>
    </row>
    <row r="566" spans="1:32">
      <c r="A566" t="s">
        <v>5232</v>
      </c>
      <c r="B566" s="4">
        <v>45576</v>
      </c>
      <c r="C566" s="4">
        <v>45610</v>
      </c>
      <c r="D566" t="s">
        <v>5233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  <c r="V566" t="str">
        <f t="shared" si="92"/>
        <v>November</v>
      </c>
      <c r="W566" t="str">
        <f t="shared" si="93"/>
        <v>OK</v>
      </c>
      <c r="X566" t="str">
        <f t="shared" si="94"/>
        <v>OK</v>
      </c>
      <c r="Y566">
        <f t="shared" si="88"/>
        <v>0.2</v>
      </c>
      <c r="Z566">
        <f t="shared" si="89"/>
        <v>1</v>
      </c>
      <c r="AA566">
        <f t="shared" si="95"/>
        <v>505.6840000000002</v>
      </c>
      <c r="AB566">
        <f t="shared" si="96"/>
        <v>1474.1440000000002</v>
      </c>
      <c r="AC566">
        <f t="shared" si="97"/>
        <v>34</v>
      </c>
      <c r="AD566" t="str">
        <f t="shared" si="90"/>
        <v>South</v>
      </c>
      <c r="AE566" t="str">
        <f t="shared" si="98"/>
        <v>Clean</v>
      </c>
      <c r="AF566" t="str">
        <f t="shared" si="91"/>
        <v>First Class</v>
      </c>
    </row>
    <row r="567" spans="1:32">
      <c r="A567" t="s">
        <v>5234</v>
      </c>
      <c r="B567" s="4">
        <v>45846</v>
      </c>
      <c r="C567" s="4">
        <v>45882</v>
      </c>
      <c r="D567" t="s">
        <v>5235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  <c r="V567" t="str">
        <f t="shared" si="92"/>
        <v>August</v>
      </c>
      <c r="W567" t="str">
        <f t="shared" si="93"/>
        <v>OK</v>
      </c>
      <c r="X567" t="str">
        <f t="shared" si="94"/>
        <v>OK</v>
      </c>
      <c r="Y567">
        <f t="shared" si="88"/>
        <v>0.2</v>
      </c>
      <c r="Z567">
        <f t="shared" si="89"/>
        <v>1</v>
      </c>
      <c r="AA567">
        <f t="shared" si="95"/>
        <v>2219.7280000000001</v>
      </c>
      <c r="AB567">
        <f t="shared" si="96"/>
        <v>9224.9279999999999</v>
      </c>
      <c r="AC567">
        <f t="shared" si="97"/>
        <v>36</v>
      </c>
      <c r="AD567" t="str">
        <f t="shared" si="90"/>
        <v>North</v>
      </c>
      <c r="AE567" t="str">
        <f t="shared" si="98"/>
        <v>Clean</v>
      </c>
      <c r="AF567" t="str">
        <f t="shared" si="91"/>
        <v>Standard Class</v>
      </c>
    </row>
    <row r="568" spans="1:32">
      <c r="A568" t="s">
        <v>5236</v>
      </c>
      <c r="B568" s="4">
        <v>45604</v>
      </c>
      <c r="C568" s="4">
        <v>45523</v>
      </c>
      <c r="D568" t="s">
        <v>5237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  <c r="V568" t="str">
        <f t="shared" si="92"/>
        <v>August</v>
      </c>
      <c r="W568" s="5" t="str">
        <f t="shared" si="93"/>
        <v>Invalid</v>
      </c>
      <c r="X568" t="str">
        <f t="shared" si="94"/>
        <v>OK</v>
      </c>
      <c r="Y568">
        <f t="shared" si="88"/>
        <v>0.1</v>
      </c>
      <c r="Z568">
        <f t="shared" si="89"/>
        <v>1</v>
      </c>
      <c r="AA568">
        <f t="shared" si="95"/>
        <v>860.29200000000037</v>
      </c>
      <c r="AB568">
        <f t="shared" si="96"/>
        <v>4712.2020000000002</v>
      </c>
      <c r="AC568" s="5">
        <f t="shared" si="97"/>
        <v>-81</v>
      </c>
      <c r="AD568" t="str">
        <f t="shared" si="90"/>
        <v>West</v>
      </c>
      <c r="AE568" t="str">
        <f t="shared" si="98"/>
        <v>Invalid</v>
      </c>
      <c r="AF568" t="str">
        <f t="shared" si="91"/>
        <v>Same Day</v>
      </c>
    </row>
    <row r="569" spans="1:32">
      <c r="A569" t="s">
        <v>5238</v>
      </c>
      <c r="B569" s="4">
        <v>45445</v>
      </c>
      <c r="C569" s="4">
        <v>45332</v>
      </c>
      <c r="D569" t="s">
        <v>5239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  <c r="V569" t="str">
        <f t="shared" si="92"/>
        <v>February</v>
      </c>
      <c r="W569" s="5" t="str">
        <f t="shared" si="93"/>
        <v>Invalid</v>
      </c>
      <c r="X569" t="str">
        <f t="shared" si="94"/>
        <v>OK</v>
      </c>
      <c r="Y569">
        <f t="shared" si="88"/>
        <v>0.05</v>
      </c>
      <c r="Z569">
        <f t="shared" si="89"/>
        <v>1</v>
      </c>
      <c r="AA569">
        <f t="shared" si="95"/>
        <v>573.46699999999998</v>
      </c>
      <c r="AB569">
        <f t="shared" si="96"/>
        <v>1305.357</v>
      </c>
      <c r="AC569" s="5">
        <f t="shared" si="97"/>
        <v>-113</v>
      </c>
      <c r="AD569" t="str">
        <f t="shared" si="90"/>
        <v>North</v>
      </c>
      <c r="AE569" t="str">
        <f t="shared" si="98"/>
        <v>Invalid</v>
      </c>
      <c r="AF569" t="str">
        <f t="shared" si="91"/>
        <v>Same Day</v>
      </c>
    </row>
    <row r="570" spans="1:32">
      <c r="A570" t="s">
        <v>5240</v>
      </c>
      <c r="B570" s="4">
        <v>45312</v>
      </c>
      <c r="C570" s="4">
        <v>45315</v>
      </c>
      <c r="D570" t="s">
        <v>5241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  <c r="V570" t="str">
        <f t="shared" si="92"/>
        <v>January</v>
      </c>
      <c r="W570" t="str">
        <f t="shared" si="93"/>
        <v>OK</v>
      </c>
      <c r="X570" t="str">
        <f t="shared" si="94"/>
        <v>OK</v>
      </c>
      <c r="Y570">
        <f t="shared" si="88"/>
        <v>0.25</v>
      </c>
      <c r="Z570">
        <f t="shared" si="89"/>
        <v>1</v>
      </c>
      <c r="AA570">
        <f t="shared" si="95"/>
        <v>886.60500000000047</v>
      </c>
      <c r="AB570">
        <f t="shared" si="96"/>
        <v>2854.7250000000004</v>
      </c>
      <c r="AC570">
        <f t="shared" si="97"/>
        <v>3</v>
      </c>
      <c r="AD570" t="str">
        <f t="shared" si="90"/>
        <v>North</v>
      </c>
      <c r="AE570" t="str">
        <f t="shared" si="98"/>
        <v>Clean</v>
      </c>
      <c r="AF570" t="str">
        <f t="shared" si="91"/>
        <v>Same Day</v>
      </c>
    </row>
    <row r="571" spans="1:32">
      <c r="A571" t="s">
        <v>5242</v>
      </c>
      <c r="B571" s="4">
        <v>45878</v>
      </c>
      <c r="C571" s="4">
        <v>45910</v>
      </c>
      <c r="D571" t="s">
        <v>5243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  <c r="V571" t="str">
        <f t="shared" si="92"/>
        <v>September</v>
      </c>
      <c r="W571" t="str">
        <f t="shared" si="93"/>
        <v>OK</v>
      </c>
      <c r="X571" t="str">
        <f t="shared" si="94"/>
        <v>OK</v>
      </c>
      <c r="Y571">
        <f t="shared" si="88"/>
        <v>0.25</v>
      </c>
      <c r="Z571">
        <f t="shared" si="89"/>
        <v>1</v>
      </c>
      <c r="AA571">
        <f t="shared" si="95"/>
        <v>2723.9049999999988</v>
      </c>
      <c r="AB571">
        <f t="shared" si="96"/>
        <v>14630.264999999999</v>
      </c>
      <c r="AC571">
        <f t="shared" si="97"/>
        <v>32</v>
      </c>
      <c r="AD571" t="str">
        <f t="shared" si="90"/>
        <v>West</v>
      </c>
      <c r="AE571" t="str">
        <f t="shared" si="98"/>
        <v>Clean</v>
      </c>
      <c r="AF571" t="str">
        <f t="shared" si="91"/>
        <v>Standard Class</v>
      </c>
    </row>
    <row r="572" spans="1:32">
      <c r="A572" t="s">
        <v>5244</v>
      </c>
      <c r="B572" s="4">
        <v>45887</v>
      </c>
      <c r="C572" s="4">
        <v>45891</v>
      </c>
      <c r="D572" t="s">
        <v>5245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  <c r="V572" t="str">
        <f t="shared" si="92"/>
        <v>August</v>
      </c>
      <c r="W572" t="str">
        <f t="shared" si="93"/>
        <v>OK</v>
      </c>
      <c r="X572" t="str">
        <f t="shared" si="94"/>
        <v>OK</v>
      </c>
      <c r="Y572">
        <f t="shared" si="88"/>
        <v>0.25</v>
      </c>
      <c r="Z572">
        <f t="shared" si="89"/>
        <v>1</v>
      </c>
      <c r="AA572">
        <f t="shared" si="95"/>
        <v>2534.92</v>
      </c>
      <c r="AB572">
        <f t="shared" si="96"/>
        <v>8879.49</v>
      </c>
      <c r="AC572">
        <f t="shared" si="97"/>
        <v>4</v>
      </c>
      <c r="AD572" t="str">
        <f t="shared" si="90"/>
        <v>East</v>
      </c>
      <c r="AE572" t="str">
        <f t="shared" si="98"/>
        <v>Clean</v>
      </c>
      <c r="AF572" t="str">
        <f t="shared" si="91"/>
        <v>Second Class</v>
      </c>
    </row>
    <row r="573" spans="1:32">
      <c r="A573" t="s">
        <v>5246</v>
      </c>
      <c r="B573" s="4">
        <v>45932</v>
      </c>
      <c r="C573" s="4">
        <v>45702</v>
      </c>
      <c r="D573" t="s">
        <v>5247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M573" t="s">
        <v>4187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s="9" t="s">
        <v>125</v>
      </c>
      <c r="V573" t="str">
        <f t="shared" si="92"/>
        <v>February</v>
      </c>
      <c r="W573" s="5" t="str">
        <f t="shared" si="93"/>
        <v>Invalid</v>
      </c>
      <c r="X573" t="str">
        <f t="shared" si="94"/>
        <v>OK</v>
      </c>
      <c r="Y573">
        <f t="shared" si="88"/>
        <v>0</v>
      </c>
      <c r="Z573" s="5">
        <f t="shared" si="89"/>
        <v>2</v>
      </c>
      <c r="AA573">
        <f t="shared" si="95"/>
        <v>8141.2400000000016</v>
      </c>
      <c r="AB573">
        <f t="shared" si="96"/>
        <v>21381.45</v>
      </c>
      <c r="AC573" s="5">
        <f t="shared" si="97"/>
        <v>-230</v>
      </c>
      <c r="AD573" t="str">
        <f t="shared" si="90"/>
        <v>North</v>
      </c>
      <c r="AE573" t="str">
        <f t="shared" si="98"/>
        <v>Invalid</v>
      </c>
      <c r="AF573" s="5" t="str">
        <f t="shared" si="91"/>
        <v>Unknown</v>
      </c>
    </row>
    <row r="574" spans="1:32">
      <c r="A574" t="s">
        <v>5248</v>
      </c>
      <c r="B574" s="4">
        <v>45323</v>
      </c>
      <c r="C574" s="4">
        <v>45300</v>
      </c>
      <c r="D574" t="s">
        <v>5249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  <c r="V574" t="str">
        <f t="shared" si="92"/>
        <v>January</v>
      </c>
      <c r="W574" s="5" t="str">
        <f t="shared" si="93"/>
        <v>Invalid</v>
      </c>
      <c r="X574" t="str">
        <f t="shared" si="94"/>
        <v>OK</v>
      </c>
      <c r="Y574">
        <f t="shared" si="88"/>
        <v>0.2</v>
      </c>
      <c r="Z574">
        <f t="shared" si="89"/>
        <v>1</v>
      </c>
      <c r="AA574">
        <f t="shared" si="95"/>
        <v>767.54399999999998</v>
      </c>
      <c r="AB574">
        <f t="shared" si="96"/>
        <v>1774.944</v>
      </c>
      <c r="AC574" s="5">
        <f t="shared" si="97"/>
        <v>-23</v>
      </c>
      <c r="AD574" t="str">
        <f t="shared" si="90"/>
        <v>North</v>
      </c>
      <c r="AE574" t="str">
        <f t="shared" si="98"/>
        <v>Invalid</v>
      </c>
      <c r="AF574" t="str">
        <f t="shared" si="91"/>
        <v>Standard Class</v>
      </c>
    </row>
    <row r="575" spans="1:32">
      <c r="A575" t="s">
        <v>5250</v>
      </c>
      <c r="B575" s="4">
        <v>45922</v>
      </c>
      <c r="C575" s="4">
        <v>45926</v>
      </c>
      <c r="D575" t="s">
        <v>5251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  <c r="V575" t="str">
        <f t="shared" si="92"/>
        <v>September</v>
      </c>
      <c r="W575" t="str">
        <f t="shared" si="93"/>
        <v>OK</v>
      </c>
      <c r="X575" t="str">
        <f t="shared" si="94"/>
        <v>OK</v>
      </c>
      <c r="Y575">
        <f t="shared" si="88"/>
        <v>0</v>
      </c>
      <c r="Z575">
        <f t="shared" si="89"/>
        <v>1</v>
      </c>
      <c r="AA575">
        <f t="shared" si="95"/>
        <v>250.97999999999996</v>
      </c>
      <c r="AB575">
        <f t="shared" si="96"/>
        <v>573.65</v>
      </c>
      <c r="AC575">
        <f t="shared" si="97"/>
        <v>4</v>
      </c>
      <c r="AD575" t="str">
        <f t="shared" si="90"/>
        <v>South</v>
      </c>
      <c r="AE575" t="str">
        <f t="shared" si="98"/>
        <v>Clean</v>
      </c>
      <c r="AF575" t="str">
        <f t="shared" si="91"/>
        <v>Standard Class</v>
      </c>
    </row>
    <row r="576" spans="1:32">
      <c r="A576" t="s">
        <v>5252</v>
      </c>
      <c r="B576" s="4">
        <v>45342</v>
      </c>
      <c r="C576" s="4">
        <v>45347</v>
      </c>
      <c r="D576" t="s">
        <v>4577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  <c r="V576" t="str">
        <f t="shared" si="92"/>
        <v>February</v>
      </c>
      <c r="W576" t="str">
        <f t="shared" si="93"/>
        <v>OK</v>
      </c>
      <c r="X576" t="str">
        <f t="shared" si="94"/>
        <v>OK</v>
      </c>
      <c r="Y576">
        <f t="shared" si="88"/>
        <v>0</v>
      </c>
      <c r="Z576">
        <f t="shared" si="89"/>
        <v>1</v>
      </c>
      <c r="AA576">
        <f t="shared" si="95"/>
        <v>1350.7599999999998</v>
      </c>
      <c r="AB576">
        <f t="shared" si="96"/>
        <v>5423.2</v>
      </c>
      <c r="AC576">
        <f t="shared" si="97"/>
        <v>5</v>
      </c>
      <c r="AD576" t="str">
        <f t="shared" si="90"/>
        <v>North</v>
      </c>
      <c r="AE576" t="str">
        <f t="shared" si="98"/>
        <v>Clean</v>
      </c>
      <c r="AF576" t="str">
        <f t="shared" si="91"/>
        <v>Standard Class</v>
      </c>
    </row>
    <row r="577" spans="1:32">
      <c r="A577" t="s">
        <v>5253</v>
      </c>
      <c r="B577" s="4">
        <v>45964</v>
      </c>
      <c r="C577" s="4">
        <v>45730</v>
      </c>
      <c r="D577" t="s">
        <v>5254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  <c r="V577" t="str">
        <f t="shared" si="92"/>
        <v>March</v>
      </c>
      <c r="W577" s="5" t="str">
        <f t="shared" si="93"/>
        <v>Invalid</v>
      </c>
      <c r="X577" t="str">
        <f t="shared" si="94"/>
        <v>OK</v>
      </c>
      <c r="Y577">
        <f t="shared" si="88"/>
        <v>0.2</v>
      </c>
      <c r="Z577">
        <f t="shared" si="89"/>
        <v>1</v>
      </c>
      <c r="AA577">
        <f t="shared" si="95"/>
        <v>808.51400000000012</v>
      </c>
      <c r="AB577">
        <f t="shared" si="96"/>
        <v>3983.424</v>
      </c>
      <c r="AC577" s="5">
        <f t="shared" si="97"/>
        <v>-234</v>
      </c>
      <c r="AD577" t="str">
        <f t="shared" si="90"/>
        <v>South</v>
      </c>
      <c r="AE577" t="str">
        <f t="shared" si="98"/>
        <v>Invalid</v>
      </c>
      <c r="AF577" t="str">
        <f t="shared" si="91"/>
        <v>Same Day</v>
      </c>
    </row>
    <row r="578" spans="1:32">
      <c r="A578" t="s">
        <v>5255</v>
      </c>
      <c r="B578" s="4">
        <v>45339</v>
      </c>
      <c r="C578" s="4">
        <v>45345</v>
      </c>
      <c r="D578" t="s">
        <v>5256</v>
      </c>
      <c r="E578" t="s">
        <v>180</v>
      </c>
      <c r="F578" t="s">
        <v>115</v>
      </c>
      <c r="G578" t="s">
        <v>4187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  <c r="V578" t="str">
        <f t="shared" si="92"/>
        <v>February</v>
      </c>
      <c r="W578" t="str">
        <f t="shared" si="93"/>
        <v>OK</v>
      </c>
      <c r="X578" t="str">
        <f t="shared" si="94"/>
        <v>OK</v>
      </c>
      <c r="Y578">
        <f t="shared" ref="Y578:Y641" si="99">IF(P578 ="",0,P578)</f>
        <v>0</v>
      </c>
      <c r="Z578">
        <f t="shared" ref="Z578:Z641" si="100">COUNTIF(A:A,A578)</f>
        <v>1</v>
      </c>
      <c r="AA578">
        <f t="shared" si="95"/>
        <v>3992.3499999999985</v>
      </c>
      <c r="AB578">
        <f t="shared" si="96"/>
        <v>23530.14</v>
      </c>
      <c r="AC578">
        <f t="shared" si="97"/>
        <v>6</v>
      </c>
      <c r="AD578" s="5" t="str">
        <f t="shared" ref="AD578:AD641" si="101">IF(G578="","Unknown",G578)</f>
        <v>Unknown</v>
      </c>
      <c r="AE578" t="str">
        <f t="shared" si="98"/>
        <v>Clean</v>
      </c>
      <c r="AF578" t="str">
        <f t="shared" ref="AF578:AF641" si="102">IF(M578="","Unknown",M578)</f>
        <v>Standard Class</v>
      </c>
    </row>
    <row r="579" spans="1:32">
      <c r="A579" t="s">
        <v>5257</v>
      </c>
      <c r="B579" s="4">
        <v>45897</v>
      </c>
      <c r="C579" s="4">
        <v>45903</v>
      </c>
      <c r="D579" t="s">
        <v>5258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  <c r="V579" t="str">
        <f t="shared" ref="V579:V642" si="103">TEXT(C579,"MMMM")</f>
        <v>September</v>
      </c>
      <c r="W579" t="str">
        <f t="shared" ref="W579:W642" si="104">IF(B579&lt;C579,"OK","Invalid")</f>
        <v>OK</v>
      </c>
      <c r="X579" t="str">
        <f t="shared" ref="X579:X642" si="105">IF(P579&lt;0,"Negative Discount","OK")</f>
        <v>OK</v>
      </c>
      <c r="Y579">
        <f t="shared" si="99"/>
        <v>0</v>
      </c>
      <c r="Z579">
        <f t="shared" si="100"/>
        <v>1</v>
      </c>
      <c r="AA579">
        <f t="shared" ref="AA579:AA642" si="106">AB579-R579</f>
        <v>744.24999999999977</v>
      </c>
      <c r="AB579">
        <f t="shared" ref="AB579:AB642" si="107">N579*O579*(1-Y579)</f>
        <v>1879.1499999999999</v>
      </c>
      <c r="AC579">
        <f t="shared" ref="AC579:AC642" si="108">C579-B579</f>
        <v>6</v>
      </c>
      <c r="AD579" t="str">
        <f t="shared" si="101"/>
        <v>West</v>
      </c>
      <c r="AE579" t="str">
        <f t="shared" ref="AE579:AE642" si="109">IF(OR(P579&lt;0,P579&gt;1,C579&lt;B579),"Invalid",IF(OR(G579="Unknown",M579="Unknown"),"Warning","Clean"))</f>
        <v>Clean</v>
      </c>
      <c r="AF579" t="str">
        <f t="shared" si="102"/>
        <v>Standard Class</v>
      </c>
    </row>
    <row r="580" spans="1:32">
      <c r="A580" t="s">
        <v>5259</v>
      </c>
      <c r="B580" s="4">
        <v>45343</v>
      </c>
      <c r="C580" s="4">
        <v>45345</v>
      </c>
      <c r="D580" t="s">
        <v>4243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  <c r="V580" t="str">
        <f t="shared" si="103"/>
        <v>February</v>
      </c>
      <c r="W580" t="str">
        <f t="shared" si="104"/>
        <v>OK</v>
      </c>
      <c r="X580" t="str">
        <f t="shared" si="105"/>
        <v>OK</v>
      </c>
      <c r="Y580">
        <f t="shared" si="99"/>
        <v>0.05</v>
      </c>
      <c r="Z580">
        <f t="shared" si="100"/>
        <v>1</v>
      </c>
      <c r="AA580">
        <f t="shared" si="106"/>
        <v>5351.4449999999997</v>
      </c>
      <c r="AB580">
        <f t="shared" si="107"/>
        <v>15011.805</v>
      </c>
      <c r="AC580">
        <f t="shared" si="108"/>
        <v>2</v>
      </c>
      <c r="AD580" t="str">
        <f t="shared" si="101"/>
        <v>West</v>
      </c>
      <c r="AE580" t="str">
        <f t="shared" si="109"/>
        <v>Clean</v>
      </c>
      <c r="AF580" t="str">
        <f t="shared" si="102"/>
        <v>First Class</v>
      </c>
    </row>
    <row r="581" spans="1:32">
      <c r="A581" t="s">
        <v>5260</v>
      </c>
      <c r="B581" s="4">
        <v>45462</v>
      </c>
      <c r="C581" s="4">
        <v>45467</v>
      </c>
      <c r="D581" t="s">
        <v>5261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  <c r="V581" t="str">
        <f t="shared" si="103"/>
        <v>June</v>
      </c>
      <c r="W581" t="str">
        <f t="shared" si="104"/>
        <v>OK</v>
      </c>
      <c r="X581" t="str">
        <f t="shared" si="105"/>
        <v>OK</v>
      </c>
      <c r="Y581">
        <f t="shared" si="99"/>
        <v>0</v>
      </c>
      <c r="Z581">
        <f t="shared" si="100"/>
        <v>1</v>
      </c>
      <c r="AA581">
        <f t="shared" si="106"/>
        <v>593.9699999999998</v>
      </c>
      <c r="AB581">
        <f t="shared" si="107"/>
        <v>3202.41</v>
      </c>
      <c r="AC581">
        <f t="shared" si="108"/>
        <v>5</v>
      </c>
      <c r="AD581" t="str">
        <f t="shared" si="101"/>
        <v>South</v>
      </c>
      <c r="AE581" t="str">
        <f t="shared" si="109"/>
        <v>Clean</v>
      </c>
      <c r="AF581" t="str">
        <f t="shared" si="102"/>
        <v>Same Day</v>
      </c>
    </row>
    <row r="582" spans="1:32">
      <c r="A582" t="s">
        <v>5262</v>
      </c>
      <c r="B582" s="4">
        <v>45722</v>
      </c>
      <c r="C582" s="4">
        <v>45729</v>
      </c>
      <c r="D582" t="s">
        <v>5263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  <c r="V582" t="str">
        <f t="shared" si="103"/>
        <v>March</v>
      </c>
      <c r="W582" t="str">
        <f t="shared" si="104"/>
        <v>OK</v>
      </c>
      <c r="X582" t="str">
        <f t="shared" si="105"/>
        <v>OK</v>
      </c>
      <c r="Y582">
        <f t="shared" si="99"/>
        <v>0.15</v>
      </c>
      <c r="Z582">
        <f t="shared" si="100"/>
        <v>1</v>
      </c>
      <c r="AA582">
        <f t="shared" si="106"/>
        <v>155.81599999999997</v>
      </c>
      <c r="AB582">
        <f t="shared" si="107"/>
        <v>417.48599999999999</v>
      </c>
      <c r="AC582">
        <f t="shared" si="108"/>
        <v>7</v>
      </c>
      <c r="AD582" t="str">
        <f t="shared" si="101"/>
        <v>South</v>
      </c>
      <c r="AE582" t="str">
        <f t="shared" si="109"/>
        <v>Clean</v>
      </c>
      <c r="AF582" t="str">
        <f t="shared" si="102"/>
        <v>Standard Class</v>
      </c>
    </row>
    <row r="583" spans="1:32">
      <c r="A583" t="s">
        <v>5264</v>
      </c>
      <c r="B583" s="4">
        <v>45908</v>
      </c>
      <c r="C583" s="4">
        <v>45938</v>
      </c>
      <c r="D583" t="s">
        <v>5265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  <c r="V583" t="str">
        <f t="shared" si="103"/>
        <v>October</v>
      </c>
      <c r="W583" t="str">
        <f t="shared" si="104"/>
        <v>OK</v>
      </c>
      <c r="X583" t="str">
        <f t="shared" si="105"/>
        <v>OK</v>
      </c>
      <c r="Y583">
        <f t="shared" si="99"/>
        <v>0</v>
      </c>
      <c r="Z583">
        <f t="shared" si="100"/>
        <v>1</v>
      </c>
      <c r="AA583">
        <f t="shared" si="106"/>
        <v>6358.0099999999984</v>
      </c>
      <c r="AB583">
        <f t="shared" si="107"/>
        <v>16323.8</v>
      </c>
      <c r="AC583">
        <f t="shared" si="108"/>
        <v>30</v>
      </c>
      <c r="AD583" t="str">
        <f t="shared" si="101"/>
        <v>North</v>
      </c>
      <c r="AE583" t="str">
        <f t="shared" si="109"/>
        <v>Clean</v>
      </c>
      <c r="AF583" t="str">
        <f t="shared" si="102"/>
        <v>Second Class</v>
      </c>
    </row>
    <row r="584" spans="1:32">
      <c r="A584" t="s">
        <v>5266</v>
      </c>
      <c r="B584" s="4">
        <v>45580</v>
      </c>
      <c r="C584" s="4">
        <v>45585</v>
      </c>
      <c r="D584" t="s">
        <v>5267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  <c r="V584" t="str">
        <f t="shared" si="103"/>
        <v>October</v>
      </c>
      <c r="W584" t="str">
        <f t="shared" si="104"/>
        <v>OK</v>
      </c>
      <c r="X584" t="str">
        <f t="shared" si="105"/>
        <v>OK</v>
      </c>
      <c r="Y584">
        <f t="shared" si="99"/>
        <v>0</v>
      </c>
      <c r="Z584">
        <f t="shared" si="100"/>
        <v>1</v>
      </c>
      <c r="AA584">
        <f t="shared" si="106"/>
        <v>1150.48</v>
      </c>
      <c r="AB584">
        <f t="shared" si="107"/>
        <v>3356.2</v>
      </c>
      <c r="AC584">
        <f t="shared" si="108"/>
        <v>5</v>
      </c>
      <c r="AD584" t="str">
        <f t="shared" si="101"/>
        <v>East</v>
      </c>
      <c r="AE584" t="str">
        <f t="shared" si="109"/>
        <v>Clean</v>
      </c>
      <c r="AF584" t="str">
        <f t="shared" si="102"/>
        <v>First Class</v>
      </c>
    </row>
    <row r="585" spans="1:32">
      <c r="A585" t="s">
        <v>5268</v>
      </c>
      <c r="B585" s="4">
        <v>45350</v>
      </c>
      <c r="C585" s="4">
        <v>45350</v>
      </c>
      <c r="D585" t="s">
        <v>5269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  <c r="V585" t="str">
        <f t="shared" si="103"/>
        <v>February</v>
      </c>
      <c r="W585" s="5" t="str">
        <f t="shared" si="104"/>
        <v>Invalid</v>
      </c>
      <c r="X585" t="str">
        <f t="shared" si="105"/>
        <v>OK</v>
      </c>
      <c r="Y585">
        <f t="shared" si="99"/>
        <v>0.2</v>
      </c>
      <c r="Z585">
        <f t="shared" si="100"/>
        <v>1</v>
      </c>
      <c r="AA585">
        <f t="shared" si="106"/>
        <v>883.64200000000028</v>
      </c>
      <c r="AB585">
        <f t="shared" si="107"/>
        <v>2101.4720000000002</v>
      </c>
      <c r="AC585">
        <f t="shared" si="108"/>
        <v>0</v>
      </c>
      <c r="AD585" t="str">
        <f t="shared" si="101"/>
        <v>East</v>
      </c>
      <c r="AE585" t="str">
        <f t="shared" si="109"/>
        <v>Clean</v>
      </c>
      <c r="AF585" t="str">
        <f t="shared" si="102"/>
        <v>First Class</v>
      </c>
    </row>
    <row r="586" spans="1:32">
      <c r="A586" t="s">
        <v>5270</v>
      </c>
      <c r="B586" s="4">
        <v>45390</v>
      </c>
      <c r="C586" s="4">
        <v>45514</v>
      </c>
      <c r="D586" t="s">
        <v>5271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  <c r="V586" t="str">
        <f t="shared" si="103"/>
        <v>August</v>
      </c>
      <c r="W586" t="str">
        <f t="shared" si="104"/>
        <v>OK</v>
      </c>
      <c r="X586" t="str">
        <f t="shared" si="105"/>
        <v>OK</v>
      </c>
      <c r="Y586">
        <f t="shared" si="99"/>
        <v>0.15</v>
      </c>
      <c r="Z586">
        <f t="shared" si="100"/>
        <v>1</v>
      </c>
      <c r="AA586">
        <f t="shared" si="106"/>
        <v>253.40049999999997</v>
      </c>
      <c r="AB586">
        <f t="shared" si="107"/>
        <v>837.19049999999993</v>
      </c>
      <c r="AC586">
        <f t="shared" si="108"/>
        <v>124</v>
      </c>
      <c r="AD586" t="str">
        <f t="shared" si="101"/>
        <v>East</v>
      </c>
      <c r="AE586" t="str">
        <f t="shared" si="109"/>
        <v>Clean</v>
      </c>
      <c r="AF586" t="str">
        <f t="shared" si="102"/>
        <v>Same Day</v>
      </c>
    </row>
    <row r="587" spans="1:32">
      <c r="A587" t="s">
        <v>5272</v>
      </c>
      <c r="B587" s="4">
        <v>45830</v>
      </c>
      <c r="C587" s="4">
        <v>45833</v>
      </c>
      <c r="D587" t="s">
        <v>5273</v>
      </c>
      <c r="E587" t="s">
        <v>210</v>
      </c>
      <c r="F587" t="s">
        <v>41</v>
      </c>
      <c r="G587" t="s">
        <v>73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  <c r="V587" t="str">
        <f t="shared" si="103"/>
        <v>June</v>
      </c>
      <c r="W587" t="str">
        <f t="shared" si="104"/>
        <v>OK</v>
      </c>
      <c r="X587" t="str">
        <f t="shared" si="105"/>
        <v>OK</v>
      </c>
      <c r="Y587">
        <f t="shared" si="99"/>
        <v>0</v>
      </c>
      <c r="Z587">
        <f t="shared" si="100"/>
        <v>1</v>
      </c>
      <c r="AA587">
        <f t="shared" si="106"/>
        <v>5602.7999999999993</v>
      </c>
      <c r="AB587">
        <f t="shared" si="107"/>
        <v>27629.279999999999</v>
      </c>
      <c r="AC587">
        <f t="shared" si="108"/>
        <v>3</v>
      </c>
      <c r="AD587" t="str">
        <f t="shared" si="101"/>
        <v>West</v>
      </c>
      <c r="AE587" t="str">
        <f t="shared" si="109"/>
        <v>Clean</v>
      </c>
      <c r="AF587" t="str">
        <f t="shared" si="102"/>
        <v>First Class</v>
      </c>
    </row>
    <row r="588" spans="1:32">
      <c r="A588" t="s">
        <v>5274</v>
      </c>
      <c r="B588" s="4">
        <v>45759</v>
      </c>
      <c r="C588" s="4">
        <v>45759</v>
      </c>
      <c r="D588" t="s">
        <v>5275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  <c r="V588" t="str">
        <f t="shared" si="103"/>
        <v>April</v>
      </c>
      <c r="W588" s="5" t="str">
        <f t="shared" si="104"/>
        <v>Invalid</v>
      </c>
      <c r="X588" t="str">
        <f t="shared" si="105"/>
        <v>OK</v>
      </c>
      <c r="Y588">
        <f t="shared" si="99"/>
        <v>0.2</v>
      </c>
      <c r="Z588">
        <f t="shared" si="100"/>
        <v>1</v>
      </c>
      <c r="AA588">
        <f t="shared" si="106"/>
        <v>1287.2000000000007</v>
      </c>
      <c r="AB588">
        <f t="shared" si="107"/>
        <v>7471.52</v>
      </c>
      <c r="AC588">
        <f t="shared" si="108"/>
        <v>0</v>
      </c>
      <c r="AD588" t="str">
        <f t="shared" si="101"/>
        <v>North</v>
      </c>
      <c r="AE588" t="str">
        <f t="shared" si="109"/>
        <v>Clean</v>
      </c>
      <c r="AF588" t="str">
        <f t="shared" si="102"/>
        <v>Second Class</v>
      </c>
    </row>
    <row r="589" spans="1:32">
      <c r="A589" t="s">
        <v>5276</v>
      </c>
      <c r="B589" s="4">
        <v>45861</v>
      </c>
      <c r="C589" s="4">
        <v>45869</v>
      </c>
      <c r="D589" t="s">
        <v>5277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  <c r="V589" t="str">
        <f t="shared" si="103"/>
        <v>July</v>
      </c>
      <c r="W589" t="str">
        <f t="shared" si="104"/>
        <v>OK</v>
      </c>
      <c r="X589" t="str">
        <f t="shared" si="105"/>
        <v>OK</v>
      </c>
      <c r="Y589">
        <f t="shared" si="99"/>
        <v>0.15</v>
      </c>
      <c r="Z589">
        <f t="shared" si="100"/>
        <v>1</v>
      </c>
      <c r="AA589">
        <f t="shared" si="106"/>
        <v>664.24400000000014</v>
      </c>
      <c r="AB589">
        <f t="shared" si="107"/>
        <v>3615.7640000000001</v>
      </c>
      <c r="AC589">
        <f t="shared" si="108"/>
        <v>8</v>
      </c>
      <c r="AD589" t="str">
        <f t="shared" si="101"/>
        <v>West</v>
      </c>
      <c r="AE589" t="str">
        <f t="shared" si="109"/>
        <v>Clean</v>
      </c>
      <c r="AF589" t="str">
        <f t="shared" si="102"/>
        <v>First Class</v>
      </c>
    </row>
    <row r="590" spans="1:32">
      <c r="A590" t="s">
        <v>5278</v>
      </c>
      <c r="B590" s="4">
        <v>45964</v>
      </c>
      <c r="C590" s="4">
        <v>45731</v>
      </c>
      <c r="D590" t="s">
        <v>5279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  <c r="V590" t="str">
        <f t="shared" si="103"/>
        <v>March</v>
      </c>
      <c r="W590" s="5" t="str">
        <f t="shared" si="104"/>
        <v>Invalid</v>
      </c>
      <c r="X590" t="str">
        <f t="shared" si="105"/>
        <v>OK</v>
      </c>
      <c r="Y590">
        <f t="shared" si="99"/>
        <v>0.1</v>
      </c>
      <c r="Z590">
        <f t="shared" si="100"/>
        <v>1</v>
      </c>
      <c r="AA590">
        <f t="shared" si="106"/>
        <v>11116.911999999997</v>
      </c>
      <c r="AB590">
        <f t="shared" si="107"/>
        <v>32013.791999999998</v>
      </c>
      <c r="AC590" s="5">
        <f t="shared" si="108"/>
        <v>-233</v>
      </c>
      <c r="AD590" t="str">
        <f t="shared" si="101"/>
        <v>South</v>
      </c>
      <c r="AE590" t="str">
        <f t="shared" si="109"/>
        <v>Invalid</v>
      </c>
      <c r="AF590" t="str">
        <f t="shared" si="102"/>
        <v>Second Class</v>
      </c>
    </row>
    <row r="591" spans="1:32">
      <c r="A591" t="s">
        <v>5280</v>
      </c>
      <c r="B591" s="4">
        <v>45455</v>
      </c>
      <c r="C591" s="4">
        <v>45638</v>
      </c>
      <c r="D591" t="s">
        <v>5281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  <c r="V591" t="str">
        <f t="shared" si="103"/>
        <v>December</v>
      </c>
      <c r="W591" t="str">
        <f t="shared" si="104"/>
        <v>OK</v>
      </c>
      <c r="X591" t="str">
        <f t="shared" si="105"/>
        <v>OK</v>
      </c>
      <c r="Y591">
        <f t="shared" si="99"/>
        <v>0</v>
      </c>
      <c r="Z591">
        <f t="shared" si="100"/>
        <v>1</v>
      </c>
      <c r="AA591">
        <f t="shared" si="106"/>
        <v>248.13000000000011</v>
      </c>
      <c r="AB591">
        <f t="shared" si="107"/>
        <v>1574.25</v>
      </c>
      <c r="AC591">
        <f t="shared" si="108"/>
        <v>183</v>
      </c>
      <c r="AD591" t="str">
        <f t="shared" si="101"/>
        <v>North</v>
      </c>
      <c r="AE591" t="str">
        <f t="shared" si="109"/>
        <v>Clean</v>
      </c>
      <c r="AF591" t="str">
        <f t="shared" si="102"/>
        <v>First Class</v>
      </c>
    </row>
    <row r="592" spans="1:32">
      <c r="A592" t="s">
        <v>5282</v>
      </c>
      <c r="B592" s="4">
        <v>45441</v>
      </c>
      <c r="C592" s="4">
        <v>45441</v>
      </c>
      <c r="D592" t="s">
        <v>5283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  <c r="V592" t="str">
        <f t="shared" si="103"/>
        <v>May</v>
      </c>
      <c r="W592" s="5" t="str">
        <f t="shared" si="104"/>
        <v>Invalid</v>
      </c>
      <c r="X592" t="str">
        <f t="shared" si="105"/>
        <v>OK</v>
      </c>
      <c r="Y592">
        <f t="shared" si="99"/>
        <v>0</v>
      </c>
      <c r="Z592">
        <f t="shared" si="100"/>
        <v>1</v>
      </c>
      <c r="AA592">
        <f t="shared" si="106"/>
        <v>4684.4499999999989</v>
      </c>
      <c r="AB592">
        <f t="shared" si="107"/>
        <v>20582.099999999999</v>
      </c>
      <c r="AC592">
        <f t="shared" si="108"/>
        <v>0</v>
      </c>
      <c r="AD592" t="str">
        <f t="shared" si="101"/>
        <v>North</v>
      </c>
      <c r="AE592" t="str">
        <f t="shared" si="109"/>
        <v>Clean</v>
      </c>
      <c r="AF592" t="str">
        <f t="shared" si="102"/>
        <v>Same Day</v>
      </c>
    </row>
    <row r="593" spans="1:32">
      <c r="A593" t="s">
        <v>5284</v>
      </c>
      <c r="B593" s="4">
        <v>45344</v>
      </c>
      <c r="C593" s="4">
        <v>45346</v>
      </c>
      <c r="D593" t="s">
        <v>5285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  <c r="V593" t="str">
        <f t="shared" si="103"/>
        <v>February</v>
      </c>
      <c r="W593" t="str">
        <f t="shared" si="104"/>
        <v>OK</v>
      </c>
      <c r="X593" t="str">
        <f t="shared" si="105"/>
        <v>OK</v>
      </c>
      <c r="Y593">
        <f t="shared" si="99"/>
        <v>0</v>
      </c>
      <c r="Z593">
        <f t="shared" si="100"/>
        <v>1</v>
      </c>
      <c r="AA593">
        <f t="shared" si="106"/>
        <v>4603.3599999999997</v>
      </c>
      <c r="AB593">
        <f t="shared" si="107"/>
        <v>10635.24</v>
      </c>
      <c r="AC593">
        <f t="shared" si="108"/>
        <v>2</v>
      </c>
      <c r="AD593" t="str">
        <f t="shared" si="101"/>
        <v>South</v>
      </c>
      <c r="AE593" t="str">
        <f t="shared" si="109"/>
        <v>Clean</v>
      </c>
      <c r="AF593" t="str">
        <f t="shared" si="102"/>
        <v>First Class</v>
      </c>
    </row>
    <row r="594" spans="1:32">
      <c r="A594" t="s">
        <v>5286</v>
      </c>
      <c r="B594" s="4">
        <v>45355</v>
      </c>
      <c r="C594" s="4">
        <v>45360</v>
      </c>
      <c r="D594" t="s">
        <v>5287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  <c r="V594" t="str">
        <f t="shared" si="103"/>
        <v>March</v>
      </c>
      <c r="W594" t="str">
        <f t="shared" si="104"/>
        <v>OK</v>
      </c>
      <c r="X594" t="str">
        <f t="shared" si="105"/>
        <v>OK</v>
      </c>
      <c r="Y594">
        <f t="shared" si="99"/>
        <v>0.15</v>
      </c>
      <c r="Z594">
        <f t="shared" si="100"/>
        <v>1</v>
      </c>
      <c r="AA594">
        <f t="shared" si="106"/>
        <v>7493.5580000000009</v>
      </c>
      <c r="AB594">
        <f t="shared" si="107"/>
        <v>29929.588</v>
      </c>
      <c r="AC594">
        <f t="shared" si="108"/>
        <v>5</v>
      </c>
      <c r="AD594" t="str">
        <f t="shared" si="101"/>
        <v>East</v>
      </c>
      <c r="AE594" t="str">
        <f t="shared" si="109"/>
        <v>Clean</v>
      </c>
      <c r="AF594" t="str">
        <f t="shared" si="102"/>
        <v>Same Day</v>
      </c>
    </row>
    <row r="595" spans="1:32">
      <c r="A595" t="s">
        <v>5288</v>
      </c>
      <c r="B595" s="4">
        <v>45927</v>
      </c>
      <c r="C595" s="4">
        <v>45929</v>
      </c>
      <c r="D595" t="s">
        <v>5150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  <c r="V595" t="str">
        <f t="shared" si="103"/>
        <v>September</v>
      </c>
      <c r="W595" t="str">
        <f t="shared" si="104"/>
        <v>OK</v>
      </c>
      <c r="X595" t="str">
        <f t="shared" si="105"/>
        <v>OK</v>
      </c>
      <c r="Y595">
        <f t="shared" si="99"/>
        <v>0.25</v>
      </c>
      <c r="Z595">
        <f t="shared" si="100"/>
        <v>1</v>
      </c>
      <c r="AA595">
        <f t="shared" si="106"/>
        <v>12104.6625</v>
      </c>
      <c r="AB595">
        <f t="shared" si="107"/>
        <v>27675.7425</v>
      </c>
      <c r="AC595">
        <f t="shared" si="108"/>
        <v>2</v>
      </c>
      <c r="AD595" t="str">
        <f t="shared" si="101"/>
        <v>North</v>
      </c>
      <c r="AE595" t="str">
        <f t="shared" si="109"/>
        <v>Clean</v>
      </c>
      <c r="AF595" t="str">
        <f t="shared" si="102"/>
        <v>Second Class</v>
      </c>
    </row>
    <row r="596" spans="1:32">
      <c r="A596" t="s">
        <v>5289</v>
      </c>
      <c r="B596" s="4">
        <v>45554</v>
      </c>
      <c r="C596" s="4">
        <v>45556</v>
      </c>
      <c r="D596" t="s">
        <v>5290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  <c r="V596" t="str">
        <f t="shared" si="103"/>
        <v>September</v>
      </c>
      <c r="W596" t="str">
        <f t="shared" si="104"/>
        <v>OK</v>
      </c>
      <c r="X596" t="str">
        <f t="shared" si="105"/>
        <v>OK</v>
      </c>
      <c r="Y596">
        <f t="shared" si="99"/>
        <v>0</v>
      </c>
      <c r="Z596">
        <f t="shared" si="100"/>
        <v>1</v>
      </c>
      <c r="AA596">
        <f t="shared" si="106"/>
        <v>2244.9700000000012</v>
      </c>
      <c r="AB596">
        <f t="shared" si="107"/>
        <v>11945.28</v>
      </c>
      <c r="AC596">
        <f t="shared" si="108"/>
        <v>2</v>
      </c>
      <c r="AD596" t="str">
        <f t="shared" si="101"/>
        <v>East</v>
      </c>
      <c r="AE596" t="str">
        <f t="shared" si="109"/>
        <v>Clean</v>
      </c>
      <c r="AF596" t="str">
        <f t="shared" si="102"/>
        <v>First Class</v>
      </c>
    </row>
    <row r="597" spans="1:32">
      <c r="A597" t="s">
        <v>5291</v>
      </c>
      <c r="B597" s="4">
        <v>45963</v>
      </c>
      <c r="C597" s="4">
        <v>45704</v>
      </c>
      <c r="D597" t="s">
        <v>5292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  <c r="V597" t="str">
        <f t="shared" si="103"/>
        <v>February</v>
      </c>
      <c r="W597" s="5" t="str">
        <f t="shared" si="104"/>
        <v>Invalid</v>
      </c>
      <c r="X597" t="str">
        <f t="shared" si="105"/>
        <v>OK</v>
      </c>
      <c r="Y597">
        <f t="shared" si="99"/>
        <v>0.1</v>
      </c>
      <c r="Z597">
        <f t="shared" si="100"/>
        <v>1</v>
      </c>
      <c r="AA597">
        <f t="shared" si="106"/>
        <v>3380.0319999999992</v>
      </c>
      <c r="AB597">
        <f t="shared" si="107"/>
        <v>13144.031999999999</v>
      </c>
      <c r="AC597" s="5">
        <f t="shared" si="108"/>
        <v>-259</v>
      </c>
      <c r="AD597" t="str">
        <f t="shared" si="101"/>
        <v>North</v>
      </c>
      <c r="AE597" t="str">
        <f t="shared" si="109"/>
        <v>Invalid</v>
      </c>
      <c r="AF597" t="str">
        <f t="shared" si="102"/>
        <v>First Class</v>
      </c>
    </row>
    <row r="598" spans="1:32">
      <c r="A598" t="s">
        <v>5293</v>
      </c>
      <c r="B598" s="4">
        <v>45569</v>
      </c>
      <c r="C598" s="4">
        <v>45398</v>
      </c>
      <c r="D598" t="s">
        <v>5294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  <c r="V598" t="str">
        <f t="shared" si="103"/>
        <v>April</v>
      </c>
      <c r="W598" s="5" t="str">
        <f t="shared" si="104"/>
        <v>Invalid</v>
      </c>
      <c r="X598" t="str">
        <f t="shared" si="105"/>
        <v>OK</v>
      </c>
      <c r="Y598">
        <f t="shared" si="99"/>
        <v>0.25</v>
      </c>
      <c r="Z598">
        <f t="shared" si="100"/>
        <v>1</v>
      </c>
      <c r="AA598">
        <f t="shared" si="106"/>
        <v>5273.8050000000039</v>
      </c>
      <c r="AB598">
        <f t="shared" si="107"/>
        <v>18382.005000000005</v>
      </c>
      <c r="AC598" s="5">
        <f t="shared" si="108"/>
        <v>-171</v>
      </c>
      <c r="AD598" t="str">
        <f t="shared" si="101"/>
        <v>South</v>
      </c>
      <c r="AE598" t="str">
        <f t="shared" si="109"/>
        <v>Invalid</v>
      </c>
      <c r="AF598" t="str">
        <f t="shared" si="102"/>
        <v>Second Class</v>
      </c>
    </row>
    <row r="599" spans="1:32">
      <c r="A599" t="s">
        <v>5295</v>
      </c>
      <c r="B599" s="4">
        <v>45876</v>
      </c>
      <c r="C599" s="4">
        <v>45876</v>
      </c>
      <c r="D599" t="s">
        <v>5296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  <c r="V599" t="str">
        <f t="shared" si="103"/>
        <v>August</v>
      </c>
      <c r="W599" s="5" t="str">
        <f t="shared" si="104"/>
        <v>Invalid</v>
      </c>
      <c r="X599" t="str">
        <f t="shared" si="105"/>
        <v>OK</v>
      </c>
      <c r="Y599">
        <f t="shared" si="99"/>
        <v>0.25</v>
      </c>
      <c r="Z599">
        <f t="shared" si="100"/>
        <v>1</v>
      </c>
      <c r="AA599">
        <f t="shared" si="106"/>
        <v>592.70000000000005</v>
      </c>
      <c r="AB599">
        <f t="shared" si="107"/>
        <v>1855.44</v>
      </c>
      <c r="AC599">
        <f t="shared" si="108"/>
        <v>0</v>
      </c>
      <c r="AD599" t="str">
        <f t="shared" si="101"/>
        <v>South</v>
      </c>
      <c r="AE599" t="str">
        <f t="shared" si="109"/>
        <v>Clean</v>
      </c>
      <c r="AF599" t="str">
        <f t="shared" si="102"/>
        <v>Same Day</v>
      </c>
    </row>
    <row r="600" spans="1:32">
      <c r="A600" t="s">
        <v>5297</v>
      </c>
      <c r="B600" s="4">
        <v>45521</v>
      </c>
      <c r="C600" s="4">
        <v>45528</v>
      </c>
      <c r="D600" t="s">
        <v>5298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  <c r="V600" t="str">
        <f t="shared" si="103"/>
        <v>August</v>
      </c>
      <c r="W600" t="str">
        <f t="shared" si="104"/>
        <v>OK</v>
      </c>
      <c r="X600" t="str">
        <f t="shared" si="105"/>
        <v>OK</v>
      </c>
      <c r="Y600">
        <f t="shared" si="99"/>
        <v>0.25</v>
      </c>
      <c r="Z600">
        <f t="shared" si="100"/>
        <v>1</v>
      </c>
      <c r="AA600">
        <f t="shared" si="106"/>
        <v>681.38249999999971</v>
      </c>
      <c r="AB600">
        <f t="shared" si="107"/>
        <v>3354.0524999999998</v>
      </c>
      <c r="AC600">
        <f t="shared" si="108"/>
        <v>7</v>
      </c>
      <c r="AD600" t="str">
        <f t="shared" si="101"/>
        <v>East</v>
      </c>
      <c r="AE600" t="str">
        <f t="shared" si="109"/>
        <v>Clean</v>
      </c>
      <c r="AF600" t="str">
        <f t="shared" si="102"/>
        <v>Same Day</v>
      </c>
    </row>
    <row r="601" spans="1:32">
      <c r="A601" t="s">
        <v>5299</v>
      </c>
      <c r="B601" s="4">
        <v>45523</v>
      </c>
      <c r="C601" s="4">
        <v>45525</v>
      </c>
      <c r="D601" t="s">
        <v>5300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  <c r="V601" t="str">
        <f t="shared" si="103"/>
        <v>August</v>
      </c>
      <c r="W601" t="str">
        <f t="shared" si="104"/>
        <v>OK</v>
      </c>
      <c r="X601" t="str">
        <f t="shared" si="105"/>
        <v>OK</v>
      </c>
      <c r="Y601">
        <f t="shared" si="99"/>
        <v>0.25</v>
      </c>
      <c r="Z601">
        <f t="shared" si="100"/>
        <v>1</v>
      </c>
      <c r="AA601">
        <f t="shared" si="106"/>
        <v>861.24500000000012</v>
      </c>
      <c r="AB601">
        <f t="shared" si="107"/>
        <v>2482.9650000000001</v>
      </c>
      <c r="AC601">
        <f t="shared" si="108"/>
        <v>2</v>
      </c>
      <c r="AD601" t="str">
        <f t="shared" si="101"/>
        <v>North</v>
      </c>
      <c r="AE601" t="str">
        <f t="shared" si="109"/>
        <v>Clean</v>
      </c>
      <c r="AF601" t="str">
        <f t="shared" si="102"/>
        <v>First Class</v>
      </c>
    </row>
    <row r="602" spans="1:32">
      <c r="A602" t="s">
        <v>5301</v>
      </c>
      <c r="B602" s="4">
        <v>45721</v>
      </c>
      <c r="C602" s="4">
        <v>45728</v>
      </c>
      <c r="D602" t="s">
        <v>5302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  <c r="V602" t="str">
        <f t="shared" si="103"/>
        <v>March</v>
      </c>
      <c r="W602" t="str">
        <f t="shared" si="104"/>
        <v>OK</v>
      </c>
      <c r="X602" t="str">
        <f t="shared" si="105"/>
        <v>OK</v>
      </c>
      <c r="Y602">
        <f t="shared" si="99"/>
        <v>0</v>
      </c>
      <c r="Z602">
        <f t="shared" si="100"/>
        <v>1</v>
      </c>
      <c r="AA602">
        <f t="shared" si="106"/>
        <v>1985.5300000000007</v>
      </c>
      <c r="AB602">
        <f t="shared" si="107"/>
        <v>11048.25</v>
      </c>
      <c r="AC602">
        <f t="shared" si="108"/>
        <v>7</v>
      </c>
      <c r="AD602" t="str">
        <f t="shared" si="101"/>
        <v>West</v>
      </c>
      <c r="AE602" t="str">
        <f t="shared" si="109"/>
        <v>Clean</v>
      </c>
      <c r="AF602" t="str">
        <f t="shared" si="102"/>
        <v>Same Day</v>
      </c>
    </row>
    <row r="603" spans="1:32">
      <c r="A603" t="s">
        <v>5303</v>
      </c>
      <c r="B603" s="4">
        <v>45317</v>
      </c>
      <c r="C603" s="4">
        <v>45322</v>
      </c>
      <c r="D603" t="s">
        <v>5304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  <c r="V603" t="str">
        <f t="shared" si="103"/>
        <v>January</v>
      </c>
      <c r="W603" t="str">
        <f t="shared" si="104"/>
        <v>OK</v>
      </c>
      <c r="X603" t="str">
        <f t="shared" si="105"/>
        <v>OK</v>
      </c>
      <c r="Y603">
        <f t="shared" si="99"/>
        <v>0.2</v>
      </c>
      <c r="Z603">
        <f t="shared" si="100"/>
        <v>1</v>
      </c>
      <c r="AA603">
        <f t="shared" si="106"/>
        <v>2856.0899999999997</v>
      </c>
      <c r="AB603">
        <f t="shared" si="107"/>
        <v>6460.12</v>
      </c>
      <c r="AC603">
        <f t="shared" si="108"/>
        <v>5</v>
      </c>
      <c r="AD603" t="str">
        <f t="shared" si="101"/>
        <v>East</v>
      </c>
      <c r="AE603" t="str">
        <f t="shared" si="109"/>
        <v>Clean</v>
      </c>
      <c r="AF603" t="str">
        <f t="shared" si="102"/>
        <v>Second Class</v>
      </c>
    </row>
    <row r="604" spans="1:32">
      <c r="A604" t="s">
        <v>5305</v>
      </c>
      <c r="B604" s="4">
        <v>45588</v>
      </c>
      <c r="C604" s="4">
        <v>45595</v>
      </c>
      <c r="D604" t="s">
        <v>5306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  <c r="V604" t="str">
        <f t="shared" si="103"/>
        <v>October</v>
      </c>
      <c r="W604" t="str">
        <f t="shared" si="104"/>
        <v>OK</v>
      </c>
      <c r="X604" t="str">
        <f t="shared" si="105"/>
        <v>OK</v>
      </c>
      <c r="Y604">
        <f t="shared" si="99"/>
        <v>0.15</v>
      </c>
      <c r="Z604">
        <f t="shared" si="100"/>
        <v>1</v>
      </c>
      <c r="AA604">
        <f t="shared" si="106"/>
        <v>5396.6730000000025</v>
      </c>
      <c r="AB604">
        <f t="shared" si="107"/>
        <v>26192.223000000002</v>
      </c>
      <c r="AC604">
        <f t="shared" si="108"/>
        <v>7</v>
      </c>
      <c r="AD604" t="str">
        <f t="shared" si="101"/>
        <v>East</v>
      </c>
      <c r="AE604" t="str">
        <f t="shared" si="109"/>
        <v>Clean</v>
      </c>
      <c r="AF604" t="str">
        <f t="shared" si="102"/>
        <v>Second Class</v>
      </c>
    </row>
    <row r="605" spans="1:32">
      <c r="A605" t="s">
        <v>5307</v>
      </c>
      <c r="B605" s="4">
        <v>45717</v>
      </c>
      <c r="C605" s="4">
        <v>45668</v>
      </c>
      <c r="D605" t="s">
        <v>4269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  <c r="V605" t="str">
        <f t="shared" si="103"/>
        <v>January</v>
      </c>
      <c r="W605" s="5" t="str">
        <f t="shared" si="104"/>
        <v>Invalid</v>
      </c>
      <c r="X605" t="str">
        <f t="shared" si="105"/>
        <v>OK</v>
      </c>
      <c r="Y605">
        <f t="shared" si="99"/>
        <v>0.05</v>
      </c>
      <c r="Z605">
        <f t="shared" si="100"/>
        <v>1</v>
      </c>
      <c r="AA605">
        <f t="shared" si="106"/>
        <v>8410.0139999999992</v>
      </c>
      <c r="AB605">
        <f t="shared" si="107"/>
        <v>19564.603999999999</v>
      </c>
      <c r="AC605" s="5">
        <f t="shared" si="108"/>
        <v>-49</v>
      </c>
      <c r="AD605" t="str">
        <f t="shared" si="101"/>
        <v>East</v>
      </c>
      <c r="AE605" t="str">
        <f t="shared" si="109"/>
        <v>Invalid</v>
      </c>
      <c r="AF605" t="str">
        <f t="shared" si="102"/>
        <v>First Class</v>
      </c>
    </row>
    <row r="606" spans="1:32">
      <c r="A606" t="s">
        <v>5308</v>
      </c>
      <c r="B606" s="4">
        <v>45693</v>
      </c>
      <c r="C606" s="4">
        <v>45810</v>
      </c>
      <c r="D606" t="s">
        <v>5309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  <c r="V606" t="str">
        <f t="shared" si="103"/>
        <v>June</v>
      </c>
      <c r="W606" t="str">
        <f t="shared" si="104"/>
        <v>OK</v>
      </c>
      <c r="X606" t="str">
        <f t="shared" si="105"/>
        <v>OK</v>
      </c>
      <c r="Y606">
        <f t="shared" si="99"/>
        <v>0</v>
      </c>
      <c r="Z606">
        <f t="shared" si="100"/>
        <v>1</v>
      </c>
      <c r="AA606">
        <f t="shared" si="106"/>
        <v>1375.6699999999996</v>
      </c>
      <c r="AB606">
        <f t="shared" si="107"/>
        <v>3228.8999999999996</v>
      </c>
      <c r="AC606">
        <f t="shared" si="108"/>
        <v>117</v>
      </c>
      <c r="AD606" t="str">
        <f t="shared" si="101"/>
        <v>West</v>
      </c>
      <c r="AE606" t="str">
        <f t="shared" si="109"/>
        <v>Clean</v>
      </c>
      <c r="AF606" t="str">
        <f t="shared" si="102"/>
        <v>Same Day</v>
      </c>
    </row>
    <row r="607" spans="1:32">
      <c r="A607" t="s">
        <v>5310</v>
      </c>
      <c r="B607" s="4">
        <v>45907</v>
      </c>
      <c r="C607" s="4">
        <v>45851</v>
      </c>
      <c r="D607" t="s">
        <v>5311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>
        <v>0.85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  <c r="V607" t="str">
        <f t="shared" si="103"/>
        <v>July</v>
      </c>
      <c r="W607" s="5" t="str">
        <f t="shared" si="104"/>
        <v>Invalid</v>
      </c>
      <c r="X607" t="str">
        <f t="shared" si="105"/>
        <v>OK</v>
      </c>
      <c r="Y607">
        <f t="shared" si="99"/>
        <v>0.85</v>
      </c>
      <c r="Z607">
        <f t="shared" si="100"/>
        <v>1</v>
      </c>
      <c r="AA607">
        <f t="shared" si="106"/>
        <v>-5188.0424999999996</v>
      </c>
      <c r="AB607">
        <f t="shared" si="107"/>
        <v>1260.0075000000002</v>
      </c>
      <c r="AC607" s="5">
        <f t="shared" si="108"/>
        <v>-56</v>
      </c>
      <c r="AD607" t="str">
        <f t="shared" si="101"/>
        <v>West</v>
      </c>
      <c r="AE607" t="str">
        <f t="shared" si="109"/>
        <v>Invalid</v>
      </c>
      <c r="AF607" t="str">
        <f t="shared" si="102"/>
        <v>Second Class</v>
      </c>
    </row>
    <row r="608" spans="1:32">
      <c r="A608" t="s">
        <v>5312</v>
      </c>
      <c r="B608" s="4">
        <v>45710</v>
      </c>
      <c r="C608" s="4">
        <v>45716</v>
      </c>
      <c r="D608" t="s">
        <v>5313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  <c r="V608" t="str">
        <f t="shared" si="103"/>
        <v>February</v>
      </c>
      <c r="W608" t="str">
        <f t="shared" si="104"/>
        <v>OK</v>
      </c>
      <c r="X608" t="str">
        <f t="shared" si="105"/>
        <v>OK</v>
      </c>
      <c r="Y608">
        <f t="shared" si="99"/>
        <v>0.25</v>
      </c>
      <c r="Z608">
        <f t="shared" si="100"/>
        <v>1</v>
      </c>
      <c r="AA608">
        <f t="shared" si="106"/>
        <v>2515.4225000000006</v>
      </c>
      <c r="AB608">
        <f t="shared" si="107"/>
        <v>8754.3225000000002</v>
      </c>
      <c r="AC608">
        <f t="shared" si="108"/>
        <v>6</v>
      </c>
      <c r="AD608" t="str">
        <f t="shared" si="101"/>
        <v>West</v>
      </c>
      <c r="AE608" t="str">
        <f t="shared" si="109"/>
        <v>Clean</v>
      </c>
      <c r="AF608" t="str">
        <f t="shared" si="102"/>
        <v>Same Day</v>
      </c>
    </row>
    <row r="609" spans="1:32">
      <c r="A609" t="s">
        <v>5314</v>
      </c>
      <c r="B609" s="4">
        <v>45704</v>
      </c>
      <c r="C609" s="4">
        <v>45710</v>
      </c>
      <c r="D609" t="s">
        <v>5315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  <c r="V609" t="str">
        <f t="shared" si="103"/>
        <v>February</v>
      </c>
      <c r="W609" t="str">
        <f t="shared" si="104"/>
        <v>OK</v>
      </c>
      <c r="X609" t="str">
        <f t="shared" si="105"/>
        <v>OK</v>
      </c>
      <c r="Y609">
        <f t="shared" si="99"/>
        <v>0.15</v>
      </c>
      <c r="Z609">
        <f t="shared" si="100"/>
        <v>1</v>
      </c>
      <c r="AA609">
        <f t="shared" si="106"/>
        <v>1195.3174999999992</v>
      </c>
      <c r="AB609">
        <f t="shared" si="107"/>
        <v>4057.3474999999994</v>
      </c>
      <c r="AC609">
        <f t="shared" si="108"/>
        <v>6</v>
      </c>
      <c r="AD609" t="str">
        <f t="shared" si="101"/>
        <v>East</v>
      </c>
      <c r="AE609" t="str">
        <f t="shared" si="109"/>
        <v>Clean</v>
      </c>
      <c r="AF609" t="str">
        <f t="shared" si="102"/>
        <v>Same Day</v>
      </c>
    </row>
    <row r="610" spans="1:32">
      <c r="A610" t="s">
        <v>5316</v>
      </c>
      <c r="B610" s="4">
        <v>45464</v>
      </c>
      <c r="C610" s="4">
        <v>45466</v>
      </c>
      <c r="D610" t="s">
        <v>5169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  <c r="V610" t="str">
        <f t="shared" si="103"/>
        <v>June</v>
      </c>
      <c r="W610" t="str">
        <f t="shared" si="104"/>
        <v>OK</v>
      </c>
      <c r="X610" t="str">
        <f t="shared" si="105"/>
        <v>OK</v>
      </c>
      <c r="Y610">
        <f t="shared" si="99"/>
        <v>0</v>
      </c>
      <c r="Z610">
        <f t="shared" si="100"/>
        <v>1</v>
      </c>
      <c r="AA610">
        <f t="shared" si="106"/>
        <v>7716.32</v>
      </c>
      <c r="AB610">
        <f t="shared" si="107"/>
        <v>19383.75</v>
      </c>
      <c r="AC610">
        <f t="shared" si="108"/>
        <v>2</v>
      </c>
      <c r="AD610" t="str">
        <f t="shared" si="101"/>
        <v>West</v>
      </c>
      <c r="AE610" t="str">
        <f t="shared" si="109"/>
        <v>Clean</v>
      </c>
      <c r="AF610" t="str">
        <f t="shared" si="102"/>
        <v>Second Class</v>
      </c>
    </row>
    <row r="611" spans="1:32">
      <c r="A611" t="s">
        <v>5317</v>
      </c>
      <c r="B611" s="4">
        <v>45870</v>
      </c>
      <c r="C611" s="4">
        <v>45669</v>
      </c>
      <c r="D611" t="s">
        <v>5318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  <c r="V611" t="str">
        <f t="shared" si="103"/>
        <v>January</v>
      </c>
      <c r="W611" s="5" t="str">
        <f t="shared" si="104"/>
        <v>Invalid</v>
      </c>
      <c r="X611" t="str">
        <f t="shared" si="105"/>
        <v>OK</v>
      </c>
      <c r="Y611">
        <f t="shared" si="99"/>
        <v>0</v>
      </c>
      <c r="Z611">
        <f t="shared" si="100"/>
        <v>1</v>
      </c>
      <c r="AA611">
        <f t="shared" si="106"/>
        <v>5296.9599999999955</v>
      </c>
      <c r="AB611">
        <f t="shared" si="107"/>
        <v>30362.359999999997</v>
      </c>
      <c r="AC611" s="5">
        <f t="shared" si="108"/>
        <v>-201</v>
      </c>
      <c r="AD611" t="str">
        <f t="shared" si="101"/>
        <v>South</v>
      </c>
      <c r="AE611" t="str">
        <f t="shared" si="109"/>
        <v>Invalid</v>
      </c>
      <c r="AF611" t="str">
        <f t="shared" si="102"/>
        <v>Standard Class</v>
      </c>
    </row>
    <row r="612" spans="1:32">
      <c r="A612" t="s">
        <v>5319</v>
      </c>
      <c r="B612" s="4">
        <v>45432</v>
      </c>
      <c r="C612" s="4">
        <v>45432</v>
      </c>
      <c r="D612" t="s">
        <v>4952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  <c r="V612" t="str">
        <f t="shared" si="103"/>
        <v>May</v>
      </c>
      <c r="W612" s="5" t="str">
        <f t="shared" si="104"/>
        <v>Invalid</v>
      </c>
      <c r="X612" t="str">
        <f t="shared" si="105"/>
        <v>OK</v>
      </c>
      <c r="Y612">
        <f t="shared" si="99"/>
        <v>0.1</v>
      </c>
      <c r="Z612">
        <f t="shared" si="100"/>
        <v>1</v>
      </c>
      <c r="AA612">
        <f t="shared" si="106"/>
        <v>1014.2949999999998</v>
      </c>
      <c r="AB612">
        <f t="shared" si="107"/>
        <v>2729.6549999999997</v>
      </c>
      <c r="AC612">
        <f t="shared" si="108"/>
        <v>0</v>
      </c>
      <c r="AD612" t="str">
        <f t="shared" si="101"/>
        <v>West</v>
      </c>
      <c r="AE612" t="str">
        <f t="shared" si="109"/>
        <v>Clean</v>
      </c>
      <c r="AF612" t="str">
        <f t="shared" si="102"/>
        <v>Standard Class</v>
      </c>
    </row>
    <row r="613" spans="1:32">
      <c r="A613" t="s">
        <v>5320</v>
      </c>
      <c r="B613" s="4">
        <v>45846</v>
      </c>
      <c r="C613" s="4">
        <v>45853</v>
      </c>
      <c r="D613" t="s">
        <v>5321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  <c r="V613" t="str">
        <f t="shared" si="103"/>
        <v>July</v>
      </c>
      <c r="W613" t="str">
        <f t="shared" si="104"/>
        <v>OK</v>
      </c>
      <c r="X613" t="str">
        <f t="shared" si="105"/>
        <v>OK</v>
      </c>
      <c r="Y613">
        <f t="shared" si="99"/>
        <v>0.1</v>
      </c>
      <c r="Z613">
        <f t="shared" si="100"/>
        <v>1</v>
      </c>
      <c r="AA613">
        <f t="shared" si="106"/>
        <v>809.7859999999996</v>
      </c>
      <c r="AB613">
        <f t="shared" si="107"/>
        <v>4718.0159999999996</v>
      </c>
      <c r="AC613">
        <f t="shared" si="108"/>
        <v>7</v>
      </c>
      <c r="AD613" t="str">
        <f t="shared" si="101"/>
        <v>North</v>
      </c>
      <c r="AE613" t="str">
        <f t="shared" si="109"/>
        <v>Clean</v>
      </c>
      <c r="AF613" t="str">
        <f t="shared" si="102"/>
        <v>Same Day</v>
      </c>
    </row>
    <row r="614" spans="1:32">
      <c r="A614" t="s">
        <v>5322</v>
      </c>
      <c r="B614" s="4">
        <v>45812</v>
      </c>
      <c r="C614" s="4">
        <v>45760</v>
      </c>
      <c r="D614" t="s">
        <v>5323</v>
      </c>
      <c r="E614" t="s">
        <v>107</v>
      </c>
      <c r="F614" t="s">
        <v>26</v>
      </c>
      <c r="G614" t="s">
        <v>4187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  <c r="V614" t="str">
        <f t="shared" si="103"/>
        <v>April</v>
      </c>
      <c r="W614" s="5" t="str">
        <f t="shared" si="104"/>
        <v>Invalid</v>
      </c>
      <c r="X614" t="str">
        <f t="shared" si="105"/>
        <v>OK</v>
      </c>
      <c r="Y614">
        <f t="shared" si="99"/>
        <v>0</v>
      </c>
      <c r="Z614">
        <f t="shared" si="100"/>
        <v>1</v>
      </c>
      <c r="AA614">
        <f t="shared" si="106"/>
        <v>1648.2200000000003</v>
      </c>
      <c r="AB614">
        <f t="shared" si="107"/>
        <v>3844.01</v>
      </c>
      <c r="AC614" s="5">
        <f t="shared" si="108"/>
        <v>-52</v>
      </c>
      <c r="AD614" s="5" t="str">
        <f t="shared" si="101"/>
        <v>Unknown</v>
      </c>
      <c r="AE614" t="str">
        <f t="shared" si="109"/>
        <v>Invalid</v>
      </c>
      <c r="AF614" t="str">
        <f t="shared" si="102"/>
        <v>Standard Class</v>
      </c>
    </row>
    <row r="615" spans="1:32">
      <c r="A615" t="s">
        <v>5324</v>
      </c>
      <c r="B615" s="4">
        <v>45422</v>
      </c>
      <c r="C615" s="4">
        <v>45575</v>
      </c>
      <c r="D615" t="s">
        <v>5325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  <c r="V615" t="str">
        <f t="shared" si="103"/>
        <v>October</v>
      </c>
      <c r="W615" t="str">
        <f t="shared" si="104"/>
        <v>OK</v>
      </c>
      <c r="X615" t="str">
        <f t="shared" si="105"/>
        <v>OK</v>
      </c>
      <c r="Y615">
        <f t="shared" si="99"/>
        <v>0.25</v>
      </c>
      <c r="Z615">
        <f t="shared" si="100"/>
        <v>1</v>
      </c>
      <c r="AA615">
        <f t="shared" si="106"/>
        <v>8016.3650000000016</v>
      </c>
      <c r="AB615">
        <f t="shared" si="107"/>
        <v>22688.775000000001</v>
      </c>
      <c r="AC615">
        <f t="shared" si="108"/>
        <v>153</v>
      </c>
      <c r="AD615" t="str">
        <f t="shared" si="101"/>
        <v>West</v>
      </c>
      <c r="AE615" t="str">
        <f t="shared" si="109"/>
        <v>Clean</v>
      </c>
      <c r="AF615" t="str">
        <f t="shared" si="102"/>
        <v>Same Day</v>
      </c>
    </row>
    <row r="616" spans="1:32">
      <c r="A616" t="s">
        <v>5326</v>
      </c>
      <c r="B616" s="4">
        <v>45333</v>
      </c>
      <c r="C616" s="4">
        <v>45341</v>
      </c>
      <c r="D616" t="s">
        <v>5327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  <c r="V616" t="str">
        <f t="shared" si="103"/>
        <v>February</v>
      </c>
      <c r="W616" t="str">
        <f t="shared" si="104"/>
        <v>OK</v>
      </c>
      <c r="X616" t="str">
        <f t="shared" si="105"/>
        <v>OK</v>
      </c>
      <c r="Y616">
        <f t="shared" si="99"/>
        <v>0.25</v>
      </c>
      <c r="Z616">
        <f t="shared" si="100"/>
        <v>1</v>
      </c>
      <c r="AA616">
        <f t="shared" si="106"/>
        <v>3728.84</v>
      </c>
      <c r="AB616">
        <f t="shared" si="107"/>
        <v>20389.920000000002</v>
      </c>
      <c r="AC616">
        <f t="shared" si="108"/>
        <v>8</v>
      </c>
      <c r="AD616" t="str">
        <f t="shared" si="101"/>
        <v>South</v>
      </c>
      <c r="AE616" t="str">
        <f t="shared" si="109"/>
        <v>Clean</v>
      </c>
      <c r="AF616" t="str">
        <f t="shared" si="102"/>
        <v>Standard Class</v>
      </c>
    </row>
    <row r="617" spans="1:32">
      <c r="A617" t="s">
        <v>5328</v>
      </c>
      <c r="B617" s="4">
        <v>45392</v>
      </c>
      <c r="C617" s="4">
        <v>45483</v>
      </c>
      <c r="D617" t="s">
        <v>5329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  <c r="V617" t="str">
        <f t="shared" si="103"/>
        <v>July</v>
      </c>
      <c r="W617" t="str">
        <f t="shared" si="104"/>
        <v>OK</v>
      </c>
      <c r="X617" t="str">
        <f t="shared" si="105"/>
        <v>OK</v>
      </c>
      <c r="Y617">
        <f t="shared" si="99"/>
        <v>0.1</v>
      </c>
      <c r="Z617">
        <f t="shared" si="100"/>
        <v>1</v>
      </c>
      <c r="AA617">
        <f t="shared" si="106"/>
        <v>1322.0940000000001</v>
      </c>
      <c r="AB617">
        <f t="shared" si="107"/>
        <v>5659.884</v>
      </c>
      <c r="AC617">
        <f t="shared" si="108"/>
        <v>91</v>
      </c>
      <c r="AD617" t="str">
        <f t="shared" si="101"/>
        <v>South</v>
      </c>
      <c r="AE617" t="str">
        <f t="shared" si="109"/>
        <v>Clean</v>
      </c>
      <c r="AF617" t="str">
        <f t="shared" si="102"/>
        <v>Second Class</v>
      </c>
    </row>
    <row r="618" spans="1:32">
      <c r="A618" t="s">
        <v>5330</v>
      </c>
      <c r="B618" s="4">
        <v>45520</v>
      </c>
      <c r="C618" s="4">
        <v>45523</v>
      </c>
      <c r="D618" t="s">
        <v>5331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  <c r="V618" t="str">
        <f t="shared" si="103"/>
        <v>August</v>
      </c>
      <c r="W618" t="str">
        <f t="shared" si="104"/>
        <v>OK</v>
      </c>
      <c r="X618" t="str">
        <f t="shared" si="105"/>
        <v>OK</v>
      </c>
      <c r="Y618">
        <f t="shared" si="99"/>
        <v>0.2</v>
      </c>
      <c r="Z618">
        <f t="shared" si="100"/>
        <v>1</v>
      </c>
      <c r="AA618">
        <f t="shared" si="106"/>
        <v>7002.0600000000031</v>
      </c>
      <c r="AB618">
        <f t="shared" si="107"/>
        <v>18842.640000000003</v>
      </c>
      <c r="AC618">
        <f t="shared" si="108"/>
        <v>3</v>
      </c>
      <c r="AD618" t="str">
        <f t="shared" si="101"/>
        <v>South</v>
      </c>
      <c r="AE618" t="str">
        <f t="shared" si="109"/>
        <v>Clean</v>
      </c>
      <c r="AF618" t="str">
        <f t="shared" si="102"/>
        <v>Standard Class</v>
      </c>
    </row>
    <row r="619" spans="1:32">
      <c r="A619" t="s">
        <v>5332</v>
      </c>
      <c r="B619" s="4">
        <v>45564</v>
      </c>
      <c r="C619" s="4">
        <v>45565</v>
      </c>
      <c r="D619" t="s">
        <v>5333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  <c r="V619" t="str">
        <f t="shared" si="103"/>
        <v>September</v>
      </c>
      <c r="W619" t="str">
        <f t="shared" si="104"/>
        <v>OK</v>
      </c>
      <c r="X619" t="str">
        <f t="shared" si="105"/>
        <v>OK</v>
      </c>
      <c r="Y619">
        <f t="shared" si="99"/>
        <v>0</v>
      </c>
      <c r="Z619">
        <f t="shared" si="100"/>
        <v>1</v>
      </c>
      <c r="AA619">
        <f t="shared" si="106"/>
        <v>4326.34</v>
      </c>
      <c r="AB619">
        <f t="shared" si="107"/>
        <v>24677.19</v>
      </c>
      <c r="AC619">
        <f t="shared" si="108"/>
        <v>1</v>
      </c>
      <c r="AD619" t="str">
        <f t="shared" si="101"/>
        <v>South</v>
      </c>
      <c r="AE619" t="str">
        <f t="shared" si="109"/>
        <v>Clean</v>
      </c>
      <c r="AF619" t="str">
        <f t="shared" si="102"/>
        <v>Standard Class</v>
      </c>
    </row>
    <row r="620" spans="1:32">
      <c r="A620" t="s">
        <v>5334</v>
      </c>
      <c r="B620" s="4">
        <v>45496</v>
      </c>
      <c r="C620" s="4">
        <v>45503</v>
      </c>
      <c r="D620" t="s">
        <v>5335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  <c r="V620" t="str">
        <f t="shared" si="103"/>
        <v>July</v>
      </c>
      <c r="W620" t="str">
        <f t="shared" si="104"/>
        <v>OK</v>
      </c>
      <c r="X620" t="str">
        <f t="shared" si="105"/>
        <v>OK</v>
      </c>
      <c r="Y620">
        <f t="shared" si="99"/>
        <v>0.25</v>
      </c>
      <c r="Z620">
        <f t="shared" si="100"/>
        <v>1</v>
      </c>
      <c r="AA620">
        <f t="shared" si="106"/>
        <v>2082.4424999999992</v>
      </c>
      <c r="AB620">
        <f t="shared" si="107"/>
        <v>12623.242499999998</v>
      </c>
      <c r="AC620">
        <f t="shared" si="108"/>
        <v>7</v>
      </c>
      <c r="AD620" t="str">
        <f t="shared" si="101"/>
        <v>North</v>
      </c>
      <c r="AE620" t="str">
        <f t="shared" si="109"/>
        <v>Clean</v>
      </c>
      <c r="AF620" t="str">
        <f t="shared" si="102"/>
        <v>Same Day</v>
      </c>
    </row>
    <row r="621" spans="1:32">
      <c r="A621" t="s">
        <v>5336</v>
      </c>
      <c r="B621" s="4">
        <v>45618</v>
      </c>
      <c r="C621" s="4">
        <v>45623</v>
      </c>
      <c r="D621" t="s">
        <v>5337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  <c r="V621" t="str">
        <f t="shared" si="103"/>
        <v>November</v>
      </c>
      <c r="W621" t="str">
        <f t="shared" si="104"/>
        <v>OK</v>
      </c>
      <c r="X621" t="str">
        <f t="shared" si="105"/>
        <v>OK</v>
      </c>
      <c r="Y621">
        <f t="shared" si="99"/>
        <v>0.2</v>
      </c>
      <c r="Z621">
        <f t="shared" si="100"/>
        <v>1</v>
      </c>
      <c r="AA621">
        <f t="shared" si="106"/>
        <v>483.4680000000003</v>
      </c>
      <c r="AB621">
        <f t="shared" si="107"/>
        <v>3401.0080000000003</v>
      </c>
      <c r="AC621">
        <f t="shared" si="108"/>
        <v>5</v>
      </c>
      <c r="AD621" t="str">
        <f t="shared" si="101"/>
        <v>South</v>
      </c>
      <c r="AE621" t="str">
        <f t="shared" si="109"/>
        <v>Clean</v>
      </c>
      <c r="AF621" t="str">
        <f t="shared" si="102"/>
        <v>First Class</v>
      </c>
    </row>
    <row r="622" spans="1:32">
      <c r="A622" t="s">
        <v>5338</v>
      </c>
      <c r="B622" s="4">
        <v>45522</v>
      </c>
      <c r="C622" s="4">
        <v>45525</v>
      </c>
      <c r="D622" t="s">
        <v>5339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  <c r="V622" t="str">
        <f t="shared" si="103"/>
        <v>August</v>
      </c>
      <c r="W622" t="str">
        <f t="shared" si="104"/>
        <v>OK</v>
      </c>
      <c r="X622" t="str">
        <f t="shared" si="105"/>
        <v>OK</v>
      </c>
      <c r="Y622">
        <f t="shared" si="99"/>
        <v>0</v>
      </c>
      <c r="Z622">
        <f t="shared" si="100"/>
        <v>1</v>
      </c>
      <c r="AA622">
        <f t="shared" si="106"/>
        <v>1662.2800000000007</v>
      </c>
      <c r="AB622">
        <f t="shared" si="107"/>
        <v>6609.06</v>
      </c>
      <c r="AC622">
        <f t="shared" si="108"/>
        <v>3</v>
      </c>
      <c r="AD622" t="str">
        <f t="shared" si="101"/>
        <v>North</v>
      </c>
      <c r="AE622" t="str">
        <f t="shared" si="109"/>
        <v>Clean</v>
      </c>
      <c r="AF622" t="str">
        <f t="shared" si="102"/>
        <v>Standard Class</v>
      </c>
    </row>
    <row r="623" spans="1:32">
      <c r="A623" t="s">
        <v>5340</v>
      </c>
      <c r="B623" s="4">
        <v>45624</v>
      </c>
      <c r="C623" s="4">
        <v>45632</v>
      </c>
      <c r="D623" t="s">
        <v>5341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  <c r="V623" t="str">
        <f t="shared" si="103"/>
        <v>December</v>
      </c>
      <c r="W623" t="str">
        <f t="shared" si="104"/>
        <v>OK</v>
      </c>
      <c r="X623" t="str">
        <f t="shared" si="105"/>
        <v>OK</v>
      </c>
      <c r="Y623">
        <f t="shared" si="99"/>
        <v>0</v>
      </c>
      <c r="Z623">
        <f t="shared" si="100"/>
        <v>1</v>
      </c>
      <c r="AA623">
        <f t="shared" si="106"/>
        <v>2146.1099999999997</v>
      </c>
      <c r="AB623">
        <f t="shared" si="107"/>
        <v>5464.2</v>
      </c>
      <c r="AC623">
        <f t="shared" si="108"/>
        <v>8</v>
      </c>
      <c r="AD623" t="str">
        <f t="shared" si="101"/>
        <v>West</v>
      </c>
      <c r="AE623" t="str">
        <f t="shared" si="109"/>
        <v>Clean</v>
      </c>
      <c r="AF623" t="str">
        <f t="shared" si="102"/>
        <v>Same Day</v>
      </c>
    </row>
    <row r="624" spans="1:32">
      <c r="A624" t="s">
        <v>5342</v>
      </c>
      <c r="B624" s="4">
        <v>45686</v>
      </c>
      <c r="C624" s="4">
        <v>45694</v>
      </c>
      <c r="D624" t="s">
        <v>5343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  <c r="V624" t="str">
        <f t="shared" si="103"/>
        <v>February</v>
      </c>
      <c r="W624" t="str">
        <f t="shared" si="104"/>
        <v>OK</v>
      </c>
      <c r="X624" t="str">
        <f t="shared" si="105"/>
        <v>OK</v>
      </c>
      <c r="Y624">
        <f t="shared" si="99"/>
        <v>0.05</v>
      </c>
      <c r="Z624">
        <f t="shared" si="100"/>
        <v>1</v>
      </c>
      <c r="AA624">
        <f t="shared" si="106"/>
        <v>3804.0880000000016</v>
      </c>
      <c r="AB624">
        <f t="shared" si="107"/>
        <v>10484.238000000001</v>
      </c>
      <c r="AC624">
        <f t="shared" si="108"/>
        <v>8</v>
      </c>
      <c r="AD624" t="str">
        <f t="shared" si="101"/>
        <v>East</v>
      </c>
      <c r="AE624" t="str">
        <f t="shared" si="109"/>
        <v>Clean</v>
      </c>
      <c r="AF624" t="str">
        <f t="shared" si="102"/>
        <v>Standard Class</v>
      </c>
    </row>
    <row r="625" spans="1:32">
      <c r="A625" t="s">
        <v>5344</v>
      </c>
      <c r="B625" s="4">
        <v>45512</v>
      </c>
      <c r="C625" s="4">
        <v>45518</v>
      </c>
      <c r="D625" t="s">
        <v>5345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  <c r="V625" t="str">
        <f t="shared" si="103"/>
        <v>August</v>
      </c>
      <c r="W625" t="str">
        <f t="shared" si="104"/>
        <v>OK</v>
      </c>
      <c r="X625" t="str">
        <f t="shared" si="105"/>
        <v>OK</v>
      </c>
      <c r="Y625">
        <f t="shared" si="99"/>
        <v>0.05</v>
      </c>
      <c r="Z625">
        <f t="shared" si="100"/>
        <v>1</v>
      </c>
      <c r="AA625">
        <f t="shared" si="106"/>
        <v>2817.6239999999989</v>
      </c>
      <c r="AB625">
        <f t="shared" si="107"/>
        <v>10329.843999999999</v>
      </c>
      <c r="AC625">
        <f t="shared" si="108"/>
        <v>6</v>
      </c>
      <c r="AD625" t="str">
        <f t="shared" si="101"/>
        <v>North</v>
      </c>
      <c r="AE625" t="str">
        <f t="shared" si="109"/>
        <v>Clean</v>
      </c>
      <c r="AF625" t="str">
        <f t="shared" si="102"/>
        <v>Second Class</v>
      </c>
    </row>
    <row r="626" spans="1:32">
      <c r="A626" t="s">
        <v>5346</v>
      </c>
      <c r="B626" s="4">
        <v>45321</v>
      </c>
      <c r="C626" s="4">
        <v>45323</v>
      </c>
      <c r="D626" t="s">
        <v>5347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  <c r="V626" t="str">
        <f t="shared" si="103"/>
        <v>February</v>
      </c>
      <c r="W626" t="str">
        <f t="shared" si="104"/>
        <v>OK</v>
      </c>
      <c r="X626" t="str">
        <f t="shared" si="105"/>
        <v>OK</v>
      </c>
      <c r="Y626">
        <f t="shared" si="99"/>
        <v>0.05</v>
      </c>
      <c r="Z626">
        <f t="shared" si="100"/>
        <v>1</v>
      </c>
      <c r="AA626">
        <f t="shared" si="106"/>
        <v>2994.1069999999982</v>
      </c>
      <c r="AB626">
        <f t="shared" si="107"/>
        <v>8456.9569999999985</v>
      </c>
      <c r="AC626">
        <f t="shared" si="108"/>
        <v>2</v>
      </c>
      <c r="AD626" t="str">
        <f t="shared" si="101"/>
        <v>East</v>
      </c>
      <c r="AE626" t="str">
        <f t="shared" si="109"/>
        <v>Clean</v>
      </c>
      <c r="AF626" t="str">
        <f t="shared" si="102"/>
        <v>First Class</v>
      </c>
    </row>
    <row r="627" spans="1:32">
      <c r="A627" t="s">
        <v>5348</v>
      </c>
      <c r="B627" s="4">
        <v>45641</v>
      </c>
      <c r="C627" s="4">
        <v>45647</v>
      </c>
      <c r="D627" t="s">
        <v>5349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  <c r="V627" t="str">
        <f t="shared" si="103"/>
        <v>December</v>
      </c>
      <c r="W627" t="str">
        <f t="shared" si="104"/>
        <v>OK</v>
      </c>
      <c r="X627" t="str">
        <f t="shared" si="105"/>
        <v>OK</v>
      </c>
      <c r="Y627">
        <f t="shared" si="99"/>
        <v>0.2</v>
      </c>
      <c r="Z627">
        <f t="shared" si="100"/>
        <v>1</v>
      </c>
      <c r="AA627">
        <f t="shared" si="106"/>
        <v>282.48799999999994</v>
      </c>
      <c r="AB627">
        <f t="shared" si="107"/>
        <v>1266.4079999999999</v>
      </c>
      <c r="AC627">
        <f t="shared" si="108"/>
        <v>6</v>
      </c>
      <c r="AD627" t="str">
        <f t="shared" si="101"/>
        <v>West</v>
      </c>
      <c r="AE627" t="str">
        <f t="shared" si="109"/>
        <v>Clean</v>
      </c>
      <c r="AF627" t="str">
        <f t="shared" si="102"/>
        <v>Same Day</v>
      </c>
    </row>
    <row r="628" spans="1:32">
      <c r="A628" t="s">
        <v>5350</v>
      </c>
      <c r="B628" s="4">
        <v>45812</v>
      </c>
      <c r="C628" s="4">
        <v>45844</v>
      </c>
      <c r="D628" t="s">
        <v>5351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  <c r="V628" t="str">
        <f t="shared" si="103"/>
        <v>July</v>
      </c>
      <c r="W628" t="str">
        <f t="shared" si="104"/>
        <v>OK</v>
      </c>
      <c r="X628" t="str">
        <f t="shared" si="105"/>
        <v>OK</v>
      </c>
      <c r="Y628">
        <f t="shared" si="99"/>
        <v>0</v>
      </c>
      <c r="Z628">
        <f t="shared" si="100"/>
        <v>1</v>
      </c>
      <c r="AA628">
        <f t="shared" si="106"/>
        <v>2541.7100000000009</v>
      </c>
      <c r="AB628">
        <f t="shared" si="107"/>
        <v>11473.04</v>
      </c>
      <c r="AC628">
        <f t="shared" si="108"/>
        <v>32</v>
      </c>
      <c r="AD628" t="str">
        <f t="shared" si="101"/>
        <v>East</v>
      </c>
      <c r="AE628" t="str">
        <f t="shared" si="109"/>
        <v>Clean</v>
      </c>
      <c r="AF628" t="str">
        <f t="shared" si="102"/>
        <v>Standard Class</v>
      </c>
    </row>
    <row r="629" spans="1:32">
      <c r="A629" t="s">
        <v>5352</v>
      </c>
      <c r="B629" s="4">
        <v>45701</v>
      </c>
      <c r="C629" s="4">
        <v>45709</v>
      </c>
      <c r="D629" t="s">
        <v>5353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  <c r="V629" t="str">
        <f t="shared" si="103"/>
        <v>February</v>
      </c>
      <c r="W629" t="str">
        <f t="shared" si="104"/>
        <v>OK</v>
      </c>
      <c r="X629" t="str">
        <f t="shared" si="105"/>
        <v>OK</v>
      </c>
      <c r="Y629">
        <f t="shared" si="99"/>
        <v>0.15</v>
      </c>
      <c r="Z629">
        <f t="shared" si="100"/>
        <v>1</v>
      </c>
      <c r="AA629">
        <f t="shared" si="106"/>
        <v>869.11399999999958</v>
      </c>
      <c r="AB629">
        <f t="shared" si="107"/>
        <v>4012.0339999999997</v>
      </c>
      <c r="AC629">
        <f t="shared" si="108"/>
        <v>8</v>
      </c>
      <c r="AD629" t="str">
        <f t="shared" si="101"/>
        <v>South</v>
      </c>
      <c r="AE629" t="str">
        <f t="shared" si="109"/>
        <v>Clean</v>
      </c>
      <c r="AF629" t="str">
        <f t="shared" si="102"/>
        <v>Second Class</v>
      </c>
    </row>
    <row r="630" spans="1:32">
      <c r="A630" t="s">
        <v>5354</v>
      </c>
      <c r="B630" s="4">
        <v>45787</v>
      </c>
      <c r="C630" s="4">
        <v>45942</v>
      </c>
      <c r="D630" t="s">
        <v>5355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  <c r="V630" t="str">
        <f t="shared" si="103"/>
        <v>October</v>
      </c>
      <c r="W630" t="str">
        <f t="shared" si="104"/>
        <v>OK</v>
      </c>
      <c r="X630" t="str">
        <f t="shared" si="105"/>
        <v>OK</v>
      </c>
      <c r="Y630">
        <f t="shared" si="99"/>
        <v>0.05</v>
      </c>
      <c r="Z630">
        <f t="shared" si="100"/>
        <v>1</v>
      </c>
      <c r="AA630">
        <f t="shared" si="106"/>
        <v>973.0654999999997</v>
      </c>
      <c r="AB630">
        <f t="shared" si="107"/>
        <v>5364.3554999999997</v>
      </c>
      <c r="AC630">
        <f t="shared" si="108"/>
        <v>155</v>
      </c>
      <c r="AD630" t="str">
        <f t="shared" si="101"/>
        <v>East</v>
      </c>
      <c r="AE630" t="str">
        <f t="shared" si="109"/>
        <v>Clean</v>
      </c>
      <c r="AF630" t="str">
        <f t="shared" si="102"/>
        <v>Same Day</v>
      </c>
    </row>
    <row r="631" spans="1:32">
      <c r="A631" t="s">
        <v>5356</v>
      </c>
      <c r="B631" s="4">
        <v>45939</v>
      </c>
      <c r="C631" s="4">
        <v>45914</v>
      </c>
      <c r="D631" t="s">
        <v>5357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  <c r="V631" t="str">
        <f t="shared" si="103"/>
        <v>September</v>
      </c>
      <c r="W631" s="5" t="str">
        <f t="shared" si="104"/>
        <v>Invalid</v>
      </c>
      <c r="X631" t="str">
        <f t="shared" si="105"/>
        <v>OK</v>
      </c>
      <c r="Y631">
        <f t="shared" si="99"/>
        <v>0.15</v>
      </c>
      <c r="Z631">
        <f t="shared" si="100"/>
        <v>1</v>
      </c>
      <c r="AA631">
        <f t="shared" si="106"/>
        <v>4778.973</v>
      </c>
      <c r="AB631">
        <f t="shared" si="107"/>
        <v>10706.073</v>
      </c>
      <c r="AC631" s="5">
        <f t="shared" si="108"/>
        <v>-25</v>
      </c>
      <c r="AD631" t="str">
        <f t="shared" si="101"/>
        <v>West</v>
      </c>
      <c r="AE631" t="str">
        <f t="shared" si="109"/>
        <v>Invalid</v>
      </c>
      <c r="AF631" t="str">
        <f t="shared" si="102"/>
        <v>Same Day</v>
      </c>
    </row>
    <row r="632" spans="1:32">
      <c r="A632" t="s">
        <v>5358</v>
      </c>
      <c r="B632" s="4">
        <v>45539</v>
      </c>
      <c r="C632" s="4">
        <v>45392</v>
      </c>
      <c r="D632" t="s">
        <v>5359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  <c r="V632" t="str">
        <f t="shared" si="103"/>
        <v>April</v>
      </c>
      <c r="W632" s="5" t="str">
        <f t="shared" si="104"/>
        <v>Invalid</v>
      </c>
      <c r="X632" t="str">
        <f t="shared" si="105"/>
        <v>OK</v>
      </c>
      <c r="Y632">
        <f t="shared" si="99"/>
        <v>0.1</v>
      </c>
      <c r="Z632">
        <f t="shared" si="100"/>
        <v>1</v>
      </c>
      <c r="AA632">
        <f t="shared" si="106"/>
        <v>1714.9200000000019</v>
      </c>
      <c r="AB632">
        <f t="shared" si="107"/>
        <v>10969.380000000001</v>
      </c>
      <c r="AC632" s="5">
        <f t="shared" si="108"/>
        <v>-147</v>
      </c>
      <c r="AD632" t="str">
        <f t="shared" si="101"/>
        <v>East</v>
      </c>
      <c r="AE632" t="str">
        <f t="shared" si="109"/>
        <v>Invalid</v>
      </c>
      <c r="AF632" t="str">
        <f t="shared" si="102"/>
        <v>Standard Class</v>
      </c>
    </row>
    <row r="633" spans="1:32">
      <c r="A633" t="s">
        <v>5360</v>
      </c>
      <c r="B633" s="4">
        <v>45569</v>
      </c>
      <c r="C633" s="4">
        <v>45397</v>
      </c>
      <c r="D633" t="s">
        <v>5361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  <c r="V633" t="str">
        <f t="shared" si="103"/>
        <v>April</v>
      </c>
      <c r="W633" s="5" t="str">
        <f t="shared" si="104"/>
        <v>Invalid</v>
      </c>
      <c r="X633" t="str">
        <f t="shared" si="105"/>
        <v>OK</v>
      </c>
      <c r="Y633">
        <f t="shared" si="99"/>
        <v>0.1</v>
      </c>
      <c r="Z633">
        <f t="shared" si="100"/>
        <v>1</v>
      </c>
      <c r="AA633">
        <f t="shared" si="106"/>
        <v>8886.3159999999953</v>
      </c>
      <c r="AB633">
        <f t="shared" si="107"/>
        <v>31409.855999999996</v>
      </c>
      <c r="AC633" s="5">
        <f t="shared" si="108"/>
        <v>-172</v>
      </c>
      <c r="AD633" t="str">
        <f t="shared" si="101"/>
        <v>West</v>
      </c>
      <c r="AE633" t="str">
        <f t="shared" si="109"/>
        <v>Invalid</v>
      </c>
      <c r="AF633" t="str">
        <f t="shared" si="102"/>
        <v>Standard Class</v>
      </c>
    </row>
    <row r="634" spans="1:32">
      <c r="A634" t="s">
        <v>5362</v>
      </c>
      <c r="B634" s="4">
        <v>45762</v>
      </c>
      <c r="C634" s="4">
        <v>45763</v>
      </c>
      <c r="D634" t="s">
        <v>5363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  <c r="V634" t="str">
        <f t="shared" si="103"/>
        <v>April</v>
      </c>
      <c r="W634" t="str">
        <f t="shared" si="104"/>
        <v>OK</v>
      </c>
      <c r="X634" t="str">
        <f t="shared" si="105"/>
        <v>OK</v>
      </c>
      <c r="Y634">
        <f t="shared" si="99"/>
        <v>0</v>
      </c>
      <c r="Z634">
        <f t="shared" si="100"/>
        <v>1</v>
      </c>
      <c r="AA634">
        <f t="shared" si="106"/>
        <v>2694.340000000002</v>
      </c>
      <c r="AB634">
        <f t="shared" si="107"/>
        <v>14252.650000000001</v>
      </c>
      <c r="AC634">
        <f t="shared" si="108"/>
        <v>1</v>
      </c>
      <c r="AD634" t="str">
        <f t="shared" si="101"/>
        <v>South</v>
      </c>
      <c r="AE634" t="str">
        <f t="shared" si="109"/>
        <v>Clean</v>
      </c>
      <c r="AF634" t="str">
        <f t="shared" si="102"/>
        <v>First Class</v>
      </c>
    </row>
    <row r="635" spans="1:32">
      <c r="A635" t="s">
        <v>5364</v>
      </c>
      <c r="B635" s="4">
        <v>45765</v>
      </c>
      <c r="C635" s="4">
        <v>45767</v>
      </c>
      <c r="D635" t="s">
        <v>5365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  <c r="V635" t="str">
        <f t="shared" si="103"/>
        <v>April</v>
      </c>
      <c r="W635" t="str">
        <f t="shared" si="104"/>
        <v>OK</v>
      </c>
      <c r="X635" t="str">
        <f t="shared" si="105"/>
        <v>OK</v>
      </c>
      <c r="Y635">
        <f t="shared" si="99"/>
        <v>0.15</v>
      </c>
      <c r="Z635">
        <f t="shared" si="100"/>
        <v>1</v>
      </c>
      <c r="AA635">
        <f t="shared" si="106"/>
        <v>572.13799999999992</v>
      </c>
      <c r="AB635">
        <f t="shared" si="107"/>
        <v>1382.1679999999999</v>
      </c>
      <c r="AC635">
        <f t="shared" si="108"/>
        <v>2</v>
      </c>
      <c r="AD635" t="str">
        <f t="shared" si="101"/>
        <v>South</v>
      </c>
      <c r="AE635" t="str">
        <f t="shared" si="109"/>
        <v>Clean</v>
      </c>
      <c r="AF635" t="str">
        <f t="shared" si="102"/>
        <v>Second Class</v>
      </c>
    </row>
    <row r="636" spans="1:32">
      <c r="A636" t="s">
        <v>5366</v>
      </c>
      <c r="B636" s="4">
        <v>45962</v>
      </c>
      <c r="C636" s="4">
        <v>45669</v>
      </c>
      <c r="D636" t="s">
        <v>5367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  <c r="V636" t="str">
        <f t="shared" si="103"/>
        <v>January</v>
      </c>
      <c r="W636" s="5" t="str">
        <f t="shared" si="104"/>
        <v>Invalid</v>
      </c>
      <c r="X636" t="str">
        <f t="shared" si="105"/>
        <v>OK</v>
      </c>
      <c r="Y636">
        <f t="shared" si="99"/>
        <v>0.05</v>
      </c>
      <c r="Z636">
        <f t="shared" si="100"/>
        <v>1</v>
      </c>
      <c r="AA636">
        <f t="shared" si="106"/>
        <v>4119.47</v>
      </c>
      <c r="AB636">
        <f t="shared" si="107"/>
        <v>9223.17</v>
      </c>
      <c r="AC636" s="5">
        <f t="shared" si="108"/>
        <v>-293</v>
      </c>
      <c r="AD636" t="str">
        <f t="shared" si="101"/>
        <v>South</v>
      </c>
      <c r="AE636" t="str">
        <f t="shared" si="109"/>
        <v>Invalid</v>
      </c>
      <c r="AF636" t="str">
        <f t="shared" si="102"/>
        <v>Second Class</v>
      </c>
    </row>
    <row r="637" spans="1:32">
      <c r="A637" t="s">
        <v>5368</v>
      </c>
      <c r="B637" s="4">
        <v>45432</v>
      </c>
      <c r="C637" s="4">
        <v>45437</v>
      </c>
      <c r="D637" t="s">
        <v>5369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  <c r="V637" t="str">
        <f t="shared" si="103"/>
        <v>May</v>
      </c>
      <c r="W637" t="str">
        <f t="shared" si="104"/>
        <v>OK</v>
      </c>
      <c r="X637" t="str">
        <f t="shared" si="105"/>
        <v>OK</v>
      </c>
      <c r="Y637">
        <f t="shared" si="99"/>
        <v>0.25</v>
      </c>
      <c r="Z637">
        <f t="shared" si="100"/>
        <v>1</v>
      </c>
      <c r="AA637">
        <f t="shared" si="106"/>
        <v>5990.7925000000014</v>
      </c>
      <c r="AB637">
        <f t="shared" si="107"/>
        <v>16394.962500000001</v>
      </c>
      <c r="AC637">
        <f t="shared" si="108"/>
        <v>5</v>
      </c>
      <c r="AD637" t="str">
        <f t="shared" si="101"/>
        <v>South</v>
      </c>
      <c r="AE637" t="str">
        <f t="shared" si="109"/>
        <v>Clean</v>
      </c>
      <c r="AF637" t="str">
        <f t="shared" si="102"/>
        <v>Same Day</v>
      </c>
    </row>
    <row r="638" spans="1:32">
      <c r="A638" t="s">
        <v>5370</v>
      </c>
      <c r="B638" s="4">
        <v>45332</v>
      </c>
      <c r="C638" s="4">
        <v>45574</v>
      </c>
      <c r="D638" t="s">
        <v>5371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  <c r="V638" t="str">
        <f t="shared" si="103"/>
        <v>October</v>
      </c>
      <c r="W638" t="str">
        <f t="shared" si="104"/>
        <v>OK</v>
      </c>
      <c r="X638" t="str">
        <f t="shared" si="105"/>
        <v>OK</v>
      </c>
      <c r="Y638">
        <f t="shared" si="99"/>
        <v>0.15</v>
      </c>
      <c r="Z638">
        <f t="shared" si="100"/>
        <v>1</v>
      </c>
      <c r="AA638">
        <f t="shared" si="106"/>
        <v>2789.3080000000009</v>
      </c>
      <c r="AB638">
        <f t="shared" si="107"/>
        <v>12990.108</v>
      </c>
      <c r="AC638">
        <f t="shared" si="108"/>
        <v>242</v>
      </c>
      <c r="AD638" t="str">
        <f t="shared" si="101"/>
        <v>South</v>
      </c>
      <c r="AE638" t="str">
        <f t="shared" si="109"/>
        <v>Clean</v>
      </c>
      <c r="AF638" t="str">
        <f t="shared" si="102"/>
        <v>Standard Class</v>
      </c>
    </row>
    <row r="639" spans="1:32">
      <c r="A639" t="s">
        <v>5372</v>
      </c>
      <c r="B639" s="4">
        <v>45438</v>
      </c>
      <c r="C639" s="4">
        <v>45438</v>
      </c>
      <c r="D639" t="s">
        <v>5373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  <c r="V639" t="str">
        <f t="shared" si="103"/>
        <v>May</v>
      </c>
      <c r="W639" s="5" t="str">
        <f t="shared" si="104"/>
        <v>Invalid</v>
      </c>
      <c r="X639" t="str">
        <f t="shared" si="105"/>
        <v>OK</v>
      </c>
      <c r="Y639">
        <f t="shared" si="99"/>
        <v>0.2</v>
      </c>
      <c r="Z639">
        <f t="shared" si="100"/>
        <v>1</v>
      </c>
      <c r="AA639">
        <f t="shared" si="106"/>
        <v>1974.8720000000003</v>
      </c>
      <c r="AB639">
        <f t="shared" si="107"/>
        <v>5107.9520000000002</v>
      </c>
      <c r="AC639">
        <f t="shared" si="108"/>
        <v>0</v>
      </c>
      <c r="AD639" t="str">
        <f t="shared" si="101"/>
        <v>West</v>
      </c>
      <c r="AE639" t="str">
        <f t="shared" si="109"/>
        <v>Clean</v>
      </c>
      <c r="AF639" t="str">
        <f t="shared" si="102"/>
        <v>First Class</v>
      </c>
    </row>
    <row r="640" spans="1:32">
      <c r="A640" t="s">
        <v>5374</v>
      </c>
      <c r="B640" s="4">
        <v>45317</v>
      </c>
      <c r="C640" s="4">
        <v>45322</v>
      </c>
      <c r="D640" t="s">
        <v>5375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  <c r="V640" t="str">
        <f t="shared" si="103"/>
        <v>January</v>
      </c>
      <c r="W640" t="str">
        <f t="shared" si="104"/>
        <v>OK</v>
      </c>
      <c r="X640" t="str">
        <f t="shared" si="105"/>
        <v>OK</v>
      </c>
      <c r="Y640">
        <f t="shared" si="99"/>
        <v>0.2</v>
      </c>
      <c r="Z640">
        <f t="shared" si="100"/>
        <v>1</v>
      </c>
      <c r="AA640">
        <f t="shared" si="106"/>
        <v>3111.5180000000009</v>
      </c>
      <c r="AB640">
        <f t="shared" si="107"/>
        <v>7738.3680000000013</v>
      </c>
      <c r="AC640">
        <f t="shared" si="108"/>
        <v>5</v>
      </c>
      <c r="AD640" t="str">
        <f t="shared" si="101"/>
        <v>South</v>
      </c>
      <c r="AE640" t="str">
        <f t="shared" si="109"/>
        <v>Clean</v>
      </c>
      <c r="AF640" t="str">
        <f t="shared" si="102"/>
        <v>Second Class</v>
      </c>
    </row>
    <row r="641" spans="1:32">
      <c r="A641" t="s">
        <v>5376</v>
      </c>
      <c r="B641" s="4">
        <v>45653</v>
      </c>
      <c r="C641" s="4">
        <v>45657</v>
      </c>
      <c r="D641" t="s">
        <v>5377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  <c r="V641" t="str">
        <f t="shared" si="103"/>
        <v>December</v>
      </c>
      <c r="W641" t="str">
        <f t="shared" si="104"/>
        <v>OK</v>
      </c>
      <c r="X641" t="str">
        <f t="shared" si="105"/>
        <v>OK</v>
      </c>
      <c r="Y641">
        <f t="shared" si="99"/>
        <v>0.05</v>
      </c>
      <c r="Z641">
        <f t="shared" si="100"/>
        <v>1</v>
      </c>
      <c r="AA641">
        <f t="shared" si="106"/>
        <v>468.79499999999985</v>
      </c>
      <c r="AB641">
        <f t="shared" si="107"/>
        <v>1514.9649999999999</v>
      </c>
      <c r="AC641">
        <f t="shared" si="108"/>
        <v>4</v>
      </c>
      <c r="AD641" t="str">
        <f t="shared" si="101"/>
        <v>East</v>
      </c>
      <c r="AE641" t="str">
        <f t="shared" si="109"/>
        <v>Clean</v>
      </c>
      <c r="AF641" t="str">
        <f t="shared" si="102"/>
        <v>Second Class</v>
      </c>
    </row>
    <row r="642" spans="1:32">
      <c r="A642" t="s">
        <v>5378</v>
      </c>
      <c r="B642" s="4">
        <v>45671</v>
      </c>
      <c r="C642" s="4">
        <v>45674</v>
      </c>
      <c r="D642" t="s">
        <v>5379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  <c r="V642" t="str">
        <f t="shared" si="103"/>
        <v>January</v>
      </c>
      <c r="W642" t="str">
        <f t="shared" si="104"/>
        <v>OK</v>
      </c>
      <c r="X642" t="str">
        <f t="shared" si="105"/>
        <v>OK</v>
      </c>
      <c r="Y642">
        <f t="shared" ref="Y642:Y705" si="110">IF(P642 ="",0,P642)</f>
        <v>0.2</v>
      </c>
      <c r="Z642">
        <f t="shared" ref="Z642:Z705" si="111">COUNTIF(A:A,A642)</f>
        <v>1</v>
      </c>
      <c r="AA642">
        <f t="shared" si="106"/>
        <v>343.76600000000008</v>
      </c>
      <c r="AB642">
        <f t="shared" si="107"/>
        <v>1267.296</v>
      </c>
      <c r="AC642">
        <f t="shared" si="108"/>
        <v>3</v>
      </c>
      <c r="AD642" t="str">
        <f t="shared" ref="AD642:AD705" si="112">IF(G642="","Unknown",G642)</f>
        <v>West</v>
      </c>
      <c r="AE642" t="str">
        <f t="shared" si="109"/>
        <v>Clean</v>
      </c>
      <c r="AF642" t="str">
        <f t="shared" ref="AF642:AF705" si="113">IF(M642="","Unknown",M642)</f>
        <v>First Class</v>
      </c>
    </row>
    <row r="643" spans="1:32">
      <c r="A643" t="s">
        <v>5380</v>
      </c>
      <c r="B643" s="4">
        <v>45904</v>
      </c>
      <c r="C643" s="4">
        <v>45761</v>
      </c>
      <c r="D643" t="s">
        <v>5381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  <c r="V643" t="str">
        <f t="shared" ref="V643:V706" si="114">TEXT(C643,"MMMM")</f>
        <v>April</v>
      </c>
      <c r="W643" s="5" t="str">
        <f t="shared" ref="W643:W706" si="115">IF(B643&lt;C643,"OK","Invalid")</f>
        <v>Invalid</v>
      </c>
      <c r="X643" t="str">
        <f t="shared" ref="X643:X706" si="116">IF(P643&lt;0,"Negative Discount","OK")</f>
        <v>OK</v>
      </c>
      <c r="Y643">
        <f t="shared" si="110"/>
        <v>0</v>
      </c>
      <c r="Z643">
        <f t="shared" si="111"/>
        <v>1</v>
      </c>
      <c r="AA643">
        <f t="shared" ref="AA643:AA706" si="117">AB643-R643</f>
        <v>2843.87</v>
      </c>
      <c r="AB643">
        <f t="shared" ref="AB643:AB706" si="118">N643*O643*(1-Y643)</f>
        <v>6405.74</v>
      </c>
      <c r="AC643" s="5">
        <f t="shared" ref="AC643:AC706" si="119">C643-B643</f>
        <v>-143</v>
      </c>
      <c r="AD643" t="str">
        <f t="shared" si="112"/>
        <v>North</v>
      </c>
      <c r="AE643" t="str">
        <f t="shared" ref="AE643:AE706" si="120">IF(OR(P643&lt;0,P643&gt;1,C643&lt;B643),"Invalid",IF(OR(G643="Unknown",M643="Unknown"),"Warning","Clean"))</f>
        <v>Invalid</v>
      </c>
      <c r="AF643" t="str">
        <f t="shared" si="113"/>
        <v>Same Day</v>
      </c>
    </row>
    <row r="644" spans="1:32">
      <c r="A644" t="s">
        <v>5382</v>
      </c>
      <c r="B644" s="4">
        <v>45533</v>
      </c>
      <c r="C644" s="4">
        <v>45535</v>
      </c>
      <c r="D644" t="s">
        <v>5383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198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  <c r="V644" t="str">
        <f t="shared" si="114"/>
        <v>August</v>
      </c>
      <c r="W644" t="str">
        <f t="shared" si="115"/>
        <v>OK</v>
      </c>
      <c r="X644" t="str">
        <f t="shared" si="116"/>
        <v>OK</v>
      </c>
      <c r="Y644">
        <f t="shared" si="110"/>
        <v>0.25</v>
      </c>
      <c r="Z644">
        <f t="shared" si="111"/>
        <v>1</v>
      </c>
      <c r="AA644">
        <f t="shared" si="117"/>
        <v>3270.0274999999992</v>
      </c>
      <c r="AB644">
        <f t="shared" si="118"/>
        <v>8607.6674999999996</v>
      </c>
      <c r="AC644">
        <f t="shared" si="119"/>
        <v>2</v>
      </c>
      <c r="AD644" t="str">
        <f t="shared" si="112"/>
        <v>East</v>
      </c>
      <c r="AE644" t="str">
        <f t="shared" si="120"/>
        <v>Clean</v>
      </c>
      <c r="AF644" t="str">
        <f t="shared" si="113"/>
        <v>Second Class</v>
      </c>
    </row>
    <row r="645" spans="1:32">
      <c r="A645" t="s">
        <v>5384</v>
      </c>
      <c r="B645" s="4">
        <v>45327</v>
      </c>
      <c r="C645" s="4">
        <v>45335</v>
      </c>
      <c r="D645" t="s">
        <v>4523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  <c r="V645" t="str">
        <f t="shared" si="114"/>
        <v>February</v>
      </c>
      <c r="W645" t="str">
        <f t="shared" si="115"/>
        <v>OK</v>
      </c>
      <c r="X645" t="str">
        <f t="shared" si="116"/>
        <v>OK</v>
      </c>
      <c r="Y645">
        <f t="shared" si="110"/>
        <v>0.15</v>
      </c>
      <c r="Z645">
        <f t="shared" si="111"/>
        <v>1</v>
      </c>
      <c r="AA645">
        <f t="shared" si="117"/>
        <v>10046.063999999998</v>
      </c>
      <c r="AB645">
        <f t="shared" si="118"/>
        <v>26324.023999999998</v>
      </c>
      <c r="AC645">
        <f t="shared" si="119"/>
        <v>8</v>
      </c>
      <c r="AD645" t="str">
        <f t="shared" si="112"/>
        <v>North</v>
      </c>
      <c r="AE645" t="str">
        <f t="shared" si="120"/>
        <v>Clean</v>
      </c>
      <c r="AF645" t="str">
        <f t="shared" si="113"/>
        <v>Standard Class</v>
      </c>
    </row>
    <row r="646" spans="1:32">
      <c r="A646" t="s">
        <v>5385</v>
      </c>
      <c r="B646" s="4">
        <v>45934</v>
      </c>
      <c r="C646" s="4">
        <v>45764</v>
      </c>
      <c r="D646" t="s">
        <v>5386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  <c r="V646" t="str">
        <f t="shared" si="114"/>
        <v>April</v>
      </c>
      <c r="W646" s="5" t="str">
        <f t="shared" si="115"/>
        <v>Invalid</v>
      </c>
      <c r="X646" t="str">
        <f t="shared" si="116"/>
        <v>OK</v>
      </c>
      <c r="Y646">
        <f t="shared" si="110"/>
        <v>0.05</v>
      </c>
      <c r="Z646">
        <f t="shared" si="111"/>
        <v>1</v>
      </c>
      <c r="AA646">
        <f t="shared" si="117"/>
        <v>3335.155999999999</v>
      </c>
      <c r="AB646">
        <f t="shared" si="118"/>
        <v>14250.075999999999</v>
      </c>
      <c r="AC646" s="5">
        <f t="shared" si="119"/>
        <v>-170</v>
      </c>
      <c r="AD646" t="str">
        <f t="shared" si="112"/>
        <v>East</v>
      </c>
      <c r="AE646" t="str">
        <f t="shared" si="120"/>
        <v>Invalid</v>
      </c>
      <c r="AF646" t="str">
        <f t="shared" si="113"/>
        <v>Standard Class</v>
      </c>
    </row>
    <row r="647" spans="1:32">
      <c r="A647" t="s">
        <v>5387</v>
      </c>
      <c r="B647" s="4">
        <v>45383</v>
      </c>
      <c r="C647" s="4">
        <v>45300</v>
      </c>
      <c r="D647" t="s">
        <v>5388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  <c r="V647" t="str">
        <f t="shared" si="114"/>
        <v>January</v>
      </c>
      <c r="W647" s="5" t="str">
        <f t="shared" si="115"/>
        <v>Invalid</v>
      </c>
      <c r="X647" t="str">
        <f t="shared" si="116"/>
        <v>OK</v>
      </c>
      <c r="Y647">
        <f t="shared" si="110"/>
        <v>0.1</v>
      </c>
      <c r="Z647">
        <f t="shared" si="111"/>
        <v>1</v>
      </c>
      <c r="AA647">
        <f t="shared" si="117"/>
        <v>5478.6040000000003</v>
      </c>
      <c r="AB647">
        <f t="shared" si="118"/>
        <v>13087.494000000001</v>
      </c>
      <c r="AC647" s="5">
        <f t="shared" si="119"/>
        <v>-83</v>
      </c>
      <c r="AD647" t="str">
        <f t="shared" si="112"/>
        <v>East</v>
      </c>
      <c r="AE647" t="str">
        <f t="shared" si="120"/>
        <v>Invalid</v>
      </c>
      <c r="AF647" t="str">
        <f t="shared" si="113"/>
        <v>Second Class</v>
      </c>
    </row>
    <row r="648" spans="1:32">
      <c r="A648" t="s">
        <v>5389</v>
      </c>
      <c r="B648" s="4">
        <v>45553</v>
      </c>
      <c r="C648" s="4">
        <v>45559</v>
      </c>
      <c r="D648" t="s">
        <v>5390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  <c r="V648" t="str">
        <f t="shared" si="114"/>
        <v>September</v>
      </c>
      <c r="W648" t="str">
        <f t="shared" si="115"/>
        <v>OK</v>
      </c>
      <c r="X648" t="str">
        <f t="shared" si="116"/>
        <v>OK</v>
      </c>
      <c r="Y648">
        <f t="shared" si="110"/>
        <v>0.25</v>
      </c>
      <c r="Z648">
        <f t="shared" si="111"/>
        <v>1</v>
      </c>
      <c r="AA648">
        <f t="shared" si="117"/>
        <v>503.58500000000004</v>
      </c>
      <c r="AB648">
        <f t="shared" si="118"/>
        <v>1640.5650000000001</v>
      </c>
      <c r="AC648">
        <f t="shared" si="119"/>
        <v>6</v>
      </c>
      <c r="AD648" t="str">
        <f t="shared" si="112"/>
        <v>East</v>
      </c>
      <c r="AE648" t="str">
        <f t="shared" si="120"/>
        <v>Clean</v>
      </c>
      <c r="AF648" t="str">
        <f t="shared" si="113"/>
        <v>First Class</v>
      </c>
    </row>
    <row r="649" spans="1:32">
      <c r="A649" t="s">
        <v>5391</v>
      </c>
      <c r="B649" s="4">
        <v>45658</v>
      </c>
      <c r="C649" s="4">
        <v>45666</v>
      </c>
      <c r="D649" t="s">
        <v>5392</v>
      </c>
      <c r="E649" t="s">
        <v>180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  <c r="V649" t="str">
        <f t="shared" si="114"/>
        <v>January</v>
      </c>
      <c r="W649" t="str">
        <f t="shared" si="115"/>
        <v>OK</v>
      </c>
      <c r="X649" t="str">
        <f t="shared" si="116"/>
        <v>OK</v>
      </c>
      <c r="Y649">
        <f t="shared" si="110"/>
        <v>0.15</v>
      </c>
      <c r="Z649">
        <f t="shared" si="111"/>
        <v>1</v>
      </c>
      <c r="AA649">
        <f t="shared" si="117"/>
        <v>3569.018</v>
      </c>
      <c r="AB649">
        <f t="shared" si="118"/>
        <v>14441.907999999999</v>
      </c>
      <c r="AC649">
        <f t="shared" si="119"/>
        <v>8</v>
      </c>
      <c r="AD649" t="str">
        <f t="shared" si="112"/>
        <v>North</v>
      </c>
      <c r="AE649" t="str">
        <f t="shared" si="120"/>
        <v>Clean</v>
      </c>
      <c r="AF649" t="str">
        <f t="shared" si="113"/>
        <v>First Class</v>
      </c>
    </row>
    <row r="650" spans="1:32">
      <c r="A650" t="s">
        <v>5393</v>
      </c>
      <c r="B650" s="4">
        <v>45403</v>
      </c>
      <c r="C650" s="4">
        <v>45406</v>
      </c>
      <c r="D650" t="s">
        <v>5394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  <c r="V650" t="str">
        <f t="shared" si="114"/>
        <v>April</v>
      </c>
      <c r="W650" t="str">
        <f t="shared" si="115"/>
        <v>OK</v>
      </c>
      <c r="X650" t="str">
        <f t="shared" si="116"/>
        <v>OK</v>
      </c>
      <c r="Y650">
        <f t="shared" si="110"/>
        <v>0.2</v>
      </c>
      <c r="Z650">
        <f t="shared" si="111"/>
        <v>1</v>
      </c>
      <c r="AA650">
        <f t="shared" si="117"/>
        <v>1548.6180000000008</v>
      </c>
      <c r="AB650">
        <f t="shared" si="118"/>
        <v>5065.8480000000009</v>
      </c>
      <c r="AC650">
        <f t="shared" si="119"/>
        <v>3</v>
      </c>
      <c r="AD650" t="str">
        <f t="shared" si="112"/>
        <v>South</v>
      </c>
      <c r="AE650" t="str">
        <f t="shared" si="120"/>
        <v>Clean</v>
      </c>
      <c r="AF650" t="str">
        <f t="shared" si="113"/>
        <v>Same Day</v>
      </c>
    </row>
    <row r="651" spans="1:32">
      <c r="A651" t="s">
        <v>5395</v>
      </c>
      <c r="B651" s="4">
        <v>45969</v>
      </c>
      <c r="C651" s="4">
        <v>45888</v>
      </c>
      <c r="D651" t="s">
        <v>5396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  <c r="V651" t="str">
        <f t="shared" si="114"/>
        <v>August</v>
      </c>
      <c r="W651" s="5" t="str">
        <f t="shared" si="115"/>
        <v>Invalid</v>
      </c>
      <c r="X651" t="str">
        <f t="shared" si="116"/>
        <v>OK</v>
      </c>
      <c r="Y651">
        <f t="shared" si="110"/>
        <v>0.25</v>
      </c>
      <c r="Z651">
        <f t="shared" si="111"/>
        <v>1</v>
      </c>
      <c r="AA651">
        <f t="shared" si="117"/>
        <v>2940.6400000000003</v>
      </c>
      <c r="AB651">
        <f t="shared" si="118"/>
        <v>6776.88</v>
      </c>
      <c r="AC651" s="5">
        <f t="shared" si="119"/>
        <v>-81</v>
      </c>
      <c r="AD651" t="str">
        <f t="shared" si="112"/>
        <v>South</v>
      </c>
      <c r="AE651" t="str">
        <f t="shared" si="120"/>
        <v>Invalid</v>
      </c>
      <c r="AF651" t="str">
        <f t="shared" si="113"/>
        <v>Standard Class</v>
      </c>
    </row>
    <row r="652" spans="1:32">
      <c r="A652" t="s">
        <v>5397</v>
      </c>
      <c r="B652" s="4">
        <v>45395</v>
      </c>
      <c r="C652" s="4">
        <v>45403</v>
      </c>
      <c r="D652" t="s">
        <v>4297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  <c r="V652" t="str">
        <f t="shared" si="114"/>
        <v>April</v>
      </c>
      <c r="W652" t="str">
        <f t="shared" si="115"/>
        <v>OK</v>
      </c>
      <c r="X652" t="str">
        <f t="shared" si="116"/>
        <v>OK</v>
      </c>
      <c r="Y652">
        <f t="shared" si="110"/>
        <v>0.15</v>
      </c>
      <c r="Z652">
        <f t="shared" si="111"/>
        <v>1</v>
      </c>
      <c r="AA652">
        <f t="shared" si="117"/>
        <v>5828.5919999999987</v>
      </c>
      <c r="AB652">
        <f t="shared" si="118"/>
        <v>15760.121999999999</v>
      </c>
      <c r="AC652">
        <f t="shared" si="119"/>
        <v>8</v>
      </c>
      <c r="AD652" t="str">
        <f t="shared" si="112"/>
        <v>East</v>
      </c>
      <c r="AE652" t="str">
        <f t="shared" si="120"/>
        <v>Clean</v>
      </c>
      <c r="AF652" t="str">
        <f t="shared" si="113"/>
        <v>Same Day</v>
      </c>
    </row>
    <row r="653" spans="1:32">
      <c r="A653" t="s">
        <v>5398</v>
      </c>
      <c r="B653" s="4">
        <v>45816</v>
      </c>
      <c r="C653" s="4">
        <v>45878</v>
      </c>
      <c r="D653" t="s">
        <v>5399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  <c r="V653" t="str">
        <f t="shared" si="114"/>
        <v>August</v>
      </c>
      <c r="W653" t="str">
        <f t="shared" si="115"/>
        <v>OK</v>
      </c>
      <c r="X653" t="str">
        <f t="shared" si="116"/>
        <v>OK</v>
      </c>
      <c r="Y653">
        <f t="shared" si="110"/>
        <v>0</v>
      </c>
      <c r="Z653">
        <f t="shared" si="111"/>
        <v>1</v>
      </c>
      <c r="AA653">
        <f t="shared" si="117"/>
        <v>798.92999999999984</v>
      </c>
      <c r="AB653">
        <f t="shared" si="118"/>
        <v>1795.6499999999999</v>
      </c>
      <c r="AC653">
        <f t="shared" si="119"/>
        <v>62</v>
      </c>
      <c r="AD653" t="str">
        <f t="shared" si="112"/>
        <v>South</v>
      </c>
      <c r="AE653" t="str">
        <f t="shared" si="120"/>
        <v>Clean</v>
      </c>
      <c r="AF653" t="str">
        <f t="shared" si="113"/>
        <v>Second Class</v>
      </c>
    </row>
    <row r="654" spans="1:32">
      <c r="A654" t="s">
        <v>5400</v>
      </c>
      <c r="B654" s="4">
        <v>45733</v>
      </c>
      <c r="C654" s="4">
        <v>45737</v>
      </c>
      <c r="D654" t="s">
        <v>5165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  <c r="V654" t="str">
        <f t="shared" si="114"/>
        <v>March</v>
      </c>
      <c r="W654" t="str">
        <f t="shared" si="115"/>
        <v>OK</v>
      </c>
      <c r="X654" t="str">
        <f t="shared" si="116"/>
        <v>OK</v>
      </c>
      <c r="Y654">
        <f t="shared" si="110"/>
        <v>0.15</v>
      </c>
      <c r="Z654">
        <f t="shared" si="111"/>
        <v>1</v>
      </c>
      <c r="AA654">
        <f t="shared" si="117"/>
        <v>7228.5375000000004</v>
      </c>
      <c r="AB654">
        <f t="shared" si="118"/>
        <v>18362.5075</v>
      </c>
      <c r="AC654">
        <f t="shared" si="119"/>
        <v>4</v>
      </c>
      <c r="AD654" t="str">
        <f t="shared" si="112"/>
        <v>North</v>
      </c>
      <c r="AE654" t="str">
        <f t="shared" si="120"/>
        <v>Clean</v>
      </c>
      <c r="AF654" t="str">
        <f t="shared" si="113"/>
        <v>Standard Class</v>
      </c>
    </row>
    <row r="655" spans="1:32">
      <c r="A655" t="s">
        <v>5401</v>
      </c>
      <c r="B655" s="4">
        <v>45751</v>
      </c>
      <c r="C655" s="4">
        <v>45842</v>
      </c>
      <c r="D655" t="s">
        <v>5402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  <c r="V655" t="str">
        <f t="shared" si="114"/>
        <v>July</v>
      </c>
      <c r="W655" t="str">
        <f t="shared" si="115"/>
        <v>OK</v>
      </c>
      <c r="X655" t="str">
        <f t="shared" si="116"/>
        <v>OK</v>
      </c>
      <c r="Y655">
        <f t="shared" si="110"/>
        <v>0.15</v>
      </c>
      <c r="Z655">
        <f t="shared" si="111"/>
        <v>1</v>
      </c>
      <c r="AA655">
        <f t="shared" si="117"/>
        <v>5950.3835000000036</v>
      </c>
      <c r="AB655">
        <f t="shared" si="118"/>
        <v>26524.683500000003</v>
      </c>
      <c r="AC655">
        <f t="shared" si="119"/>
        <v>91</v>
      </c>
      <c r="AD655" t="str">
        <f t="shared" si="112"/>
        <v>South</v>
      </c>
      <c r="AE655" t="str">
        <f t="shared" si="120"/>
        <v>Clean</v>
      </c>
      <c r="AF655" t="str">
        <f t="shared" si="113"/>
        <v>Second Class</v>
      </c>
    </row>
    <row r="656" spans="1:32">
      <c r="A656" t="s">
        <v>5403</v>
      </c>
      <c r="B656" s="4">
        <v>46001</v>
      </c>
      <c r="C656" s="4">
        <v>45946</v>
      </c>
      <c r="D656" t="s">
        <v>4660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  <c r="V656" t="str">
        <f t="shared" si="114"/>
        <v>October</v>
      </c>
      <c r="W656" s="5" t="str">
        <f t="shared" si="115"/>
        <v>Invalid</v>
      </c>
      <c r="X656" t="str">
        <f t="shared" si="116"/>
        <v>OK</v>
      </c>
      <c r="Y656">
        <f t="shared" si="110"/>
        <v>0.2</v>
      </c>
      <c r="Z656">
        <f t="shared" si="111"/>
        <v>1</v>
      </c>
      <c r="AA656">
        <f t="shared" si="117"/>
        <v>393.65800000000013</v>
      </c>
      <c r="AB656">
        <f t="shared" si="118"/>
        <v>2056.0480000000002</v>
      </c>
      <c r="AC656" s="5">
        <f t="shared" si="119"/>
        <v>-55</v>
      </c>
      <c r="AD656" t="str">
        <f t="shared" si="112"/>
        <v>East</v>
      </c>
      <c r="AE656" t="str">
        <f t="shared" si="120"/>
        <v>Invalid</v>
      </c>
      <c r="AF656" t="str">
        <f t="shared" si="113"/>
        <v>Same Day</v>
      </c>
    </row>
    <row r="657" spans="1:32">
      <c r="A657" t="s">
        <v>5404</v>
      </c>
      <c r="B657" s="4">
        <v>45895</v>
      </c>
      <c r="C657" s="4">
        <v>45895</v>
      </c>
      <c r="D657" t="s">
        <v>5405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  <c r="V657" t="str">
        <f t="shared" si="114"/>
        <v>August</v>
      </c>
      <c r="W657" s="5" t="str">
        <f t="shared" si="115"/>
        <v>Invalid</v>
      </c>
      <c r="X657" t="str">
        <f t="shared" si="116"/>
        <v>OK</v>
      </c>
      <c r="Y657">
        <f t="shared" si="110"/>
        <v>0</v>
      </c>
      <c r="Z657">
        <f t="shared" si="111"/>
        <v>1</v>
      </c>
      <c r="AA657">
        <f t="shared" si="117"/>
        <v>3483.2700000000004</v>
      </c>
      <c r="AB657">
        <f t="shared" si="118"/>
        <v>8607.2800000000007</v>
      </c>
      <c r="AC657">
        <f t="shared" si="119"/>
        <v>0</v>
      </c>
      <c r="AD657" t="str">
        <f t="shared" si="112"/>
        <v>East</v>
      </c>
      <c r="AE657" t="str">
        <f t="shared" si="120"/>
        <v>Clean</v>
      </c>
      <c r="AF657" t="str">
        <f t="shared" si="113"/>
        <v>Standard Class</v>
      </c>
    </row>
    <row r="658" spans="1:32">
      <c r="A658" t="s">
        <v>5406</v>
      </c>
      <c r="B658" s="4">
        <v>45419</v>
      </c>
      <c r="C658" s="4">
        <v>45426</v>
      </c>
      <c r="D658" t="s">
        <v>5407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  <c r="V658" t="str">
        <f t="shared" si="114"/>
        <v>May</v>
      </c>
      <c r="W658" t="str">
        <f t="shared" si="115"/>
        <v>OK</v>
      </c>
      <c r="X658" s="5" t="str">
        <f t="shared" si="116"/>
        <v>Negative Discount</v>
      </c>
      <c r="Y658">
        <f t="shared" si="110"/>
        <v>-0.05</v>
      </c>
      <c r="Z658">
        <f t="shared" si="111"/>
        <v>1</v>
      </c>
      <c r="AA658">
        <f t="shared" si="117"/>
        <v>3858.3400000000011</v>
      </c>
      <c r="AB658">
        <f t="shared" si="118"/>
        <v>11554.62</v>
      </c>
      <c r="AC658">
        <f t="shared" si="119"/>
        <v>7</v>
      </c>
      <c r="AD658" t="str">
        <f t="shared" si="112"/>
        <v>North</v>
      </c>
      <c r="AE658" t="str">
        <f t="shared" si="120"/>
        <v>Invalid</v>
      </c>
      <c r="AF658" t="str">
        <f t="shared" si="113"/>
        <v>Same Day</v>
      </c>
    </row>
    <row r="659" spans="1:32">
      <c r="A659" t="s">
        <v>5408</v>
      </c>
      <c r="B659" s="4">
        <v>45846</v>
      </c>
      <c r="C659" s="4">
        <v>45879</v>
      </c>
      <c r="D659" t="s">
        <v>5409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  <c r="V659" t="str">
        <f t="shared" si="114"/>
        <v>August</v>
      </c>
      <c r="W659" t="str">
        <f t="shared" si="115"/>
        <v>OK</v>
      </c>
      <c r="X659" t="str">
        <f t="shared" si="116"/>
        <v>OK</v>
      </c>
      <c r="Y659">
        <f t="shared" si="110"/>
        <v>0.2</v>
      </c>
      <c r="Z659">
        <f t="shared" si="111"/>
        <v>1</v>
      </c>
      <c r="AA659">
        <f t="shared" si="117"/>
        <v>741.58999999999992</v>
      </c>
      <c r="AB659">
        <f t="shared" si="118"/>
        <v>2033</v>
      </c>
      <c r="AC659">
        <f t="shared" si="119"/>
        <v>33</v>
      </c>
      <c r="AD659" t="str">
        <f t="shared" si="112"/>
        <v>East</v>
      </c>
      <c r="AE659" t="str">
        <f t="shared" si="120"/>
        <v>Clean</v>
      </c>
      <c r="AF659" t="str">
        <f t="shared" si="113"/>
        <v>Second Class</v>
      </c>
    </row>
    <row r="660" spans="1:32">
      <c r="A660" t="s">
        <v>5410</v>
      </c>
      <c r="B660" s="4">
        <v>45906</v>
      </c>
      <c r="C660" s="4">
        <v>45997</v>
      </c>
      <c r="D660" t="s">
        <v>5411</v>
      </c>
      <c r="E660" t="s">
        <v>168</v>
      </c>
      <c r="F660" t="s">
        <v>26</v>
      </c>
      <c r="G660" t="s">
        <v>4187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  <c r="V660" t="str">
        <f t="shared" si="114"/>
        <v>December</v>
      </c>
      <c r="W660" t="str">
        <f t="shared" si="115"/>
        <v>OK</v>
      </c>
      <c r="X660" t="str">
        <f t="shared" si="116"/>
        <v>OK</v>
      </c>
      <c r="Y660">
        <f t="shared" si="110"/>
        <v>0</v>
      </c>
      <c r="Z660">
        <f t="shared" si="111"/>
        <v>1</v>
      </c>
      <c r="AA660">
        <f t="shared" si="117"/>
        <v>7276.1100000000024</v>
      </c>
      <c r="AB660">
        <f t="shared" si="118"/>
        <v>19966.940000000002</v>
      </c>
      <c r="AC660">
        <f t="shared" si="119"/>
        <v>91</v>
      </c>
      <c r="AD660" s="5" t="str">
        <f t="shared" si="112"/>
        <v>Unknown</v>
      </c>
      <c r="AE660" t="str">
        <f t="shared" si="120"/>
        <v>Clean</v>
      </c>
      <c r="AF660" t="str">
        <f t="shared" si="113"/>
        <v>First Class</v>
      </c>
    </row>
    <row r="661" spans="1:32">
      <c r="A661" t="s">
        <v>5412</v>
      </c>
      <c r="B661" s="4">
        <v>45678</v>
      </c>
      <c r="C661" s="4">
        <v>45679</v>
      </c>
      <c r="D661" t="s">
        <v>5413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  <c r="V661" t="str">
        <f t="shared" si="114"/>
        <v>January</v>
      </c>
      <c r="W661" t="str">
        <f t="shared" si="115"/>
        <v>OK</v>
      </c>
      <c r="X661" t="str">
        <f t="shared" si="116"/>
        <v>OK</v>
      </c>
      <c r="Y661">
        <f t="shared" si="110"/>
        <v>0.2</v>
      </c>
      <c r="Z661">
        <f t="shared" si="111"/>
        <v>1</v>
      </c>
      <c r="AA661">
        <f t="shared" si="117"/>
        <v>197.01600000000008</v>
      </c>
      <c r="AB661">
        <f t="shared" si="118"/>
        <v>710.89600000000007</v>
      </c>
      <c r="AC661">
        <f t="shared" si="119"/>
        <v>1</v>
      </c>
      <c r="AD661" t="str">
        <f t="shared" si="112"/>
        <v>South</v>
      </c>
      <c r="AE661" t="str">
        <f t="shared" si="120"/>
        <v>Clean</v>
      </c>
      <c r="AF661" t="str">
        <f t="shared" si="113"/>
        <v>Second Class</v>
      </c>
    </row>
    <row r="662" spans="1:32">
      <c r="A662" t="s">
        <v>5414</v>
      </c>
      <c r="B662" s="4">
        <v>45853</v>
      </c>
      <c r="C662" s="4">
        <v>45853</v>
      </c>
      <c r="D662" t="s">
        <v>5415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  <c r="V662" t="str">
        <f t="shared" si="114"/>
        <v>July</v>
      </c>
      <c r="W662" s="5" t="str">
        <f t="shared" si="115"/>
        <v>Invalid</v>
      </c>
      <c r="X662" t="str">
        <f t="shared" si="116"/>
        <v>OK</v>
      </c>
      <c r="Y662">
        <f t="shared" si="110"/>
        <v>0.1</v>
      </c>
      <c r="Z662">
        <f t="shared" si="111"/>
        <v>1</v>
      </c>
      <c r="AA662">
        <f t="shared" si="117"/>
        <v>6770.1959999999999</v>
      </c>
      <c r="AB662">
        <f t="shared" si="118"/>
        <v>15994.476000000001</v>
      </c>
      <c r="AC662">
        <f t="shared" si="119"/>
        <v>0</v>
      </c>
      <c r="AD662" t="str">
        <f t="shared" si="112"/>
        <v>East</v>
      </c>
      <c r="AE662" t="str">
        <f t="shared" si="120"/>
        <v>Clean</v>
      </c>
      <c r="AF662" t="str">
        <f t="shared" si="113"/>
        <v>Same Day</v>
      </c>
    </row>
    <row r="663" spans="1:32">
      <c r="A663" t="s">
        <v>5416</v>
      </c>
      <c r="B663" s="4">
        <v>45429</v>
      </c>
      <c r="C663" s="4">
        <v>45434</v>
      </c>
      <c r="D663" t="s">
        <v>5417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  <c r="V663" t="str">
        <f t="shared" si="114"/>
        <v>May</v>
      </c>
      <c r="W663" t="str">
        <f t="shared" si="115"/>
        <v>OK</v>
      </c>
      <c r="X663" t="str">
        <f t="shared" si="116"/>
        <v>OK</v>
      </c>
      <c r="Y663">
        <f t="shared" si="110"/>
        <v>0</v>
      </c>
      <c r="Z663">
        <f t="shared" si="111"/>
        <v>1</v>
      </c>
      <c r="AA663">
        <f t="shared" si="117"/>
        <v>687.6</v>
      </c>
      <c r="AB663">
        <f t="shared" si="118"/>
        <v>1627.5</v>
      </c>
      <c r="AC663">
        <f t="shared" si="119"/>
        <v>5</v>
      </c>
      <c r="AD663" t="str">
        <f t="shared" si="112"/>
        <v>South</v>
      </c>
      <c r="AE663" t="str">
        <f t="shared" si="120"/>
        <v>Clean</v>
      </c>
      <c r="AF663" t="str">
        <f t="shared" si="113"/>
        <v>Second Class</v>
      </c>
    </row>
    <row r="664" spans="1:32">
      <c r="A664" t="s">
        <v>5418</v>
      </c>
      <c r="B664" s="4">
        <v>45305</v>
      </c>
      <c r="C664" s="4">
        <v>45309</v>
      </c>
      <c r="D664" t="s">
        <v>5419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  <c r="V664" t="str">
        <f t="shared" si="114"/>
        <v>January</v>
      </c>
      <c r="W664" t="str">
        <f t="shared" si="115"/>
        <v>OK</v>
      </c>
      <c r="X664" t="str">
        <f t="shared" si="116"/>
        <v>OK</v>
      </c>
      <c r="Y664">
        <f t="shared" si="110"/>
        <v>0.1</v>
      </c>
      <c r="Z664">
        <f t="shared" si="111"/>
        <v>1</v>
      </c>
      <c r="AA664">
        <f t="shared" si="117"/>
        <v>2308.63</v>
      </c>
      <c r="AB664">
        <f t="shared" si="118"/>
        <v>9637.92</v>
      </c>
      <c r="AC664">
        <f t="shared" si="119"/>
        <v>4</v>
      </c>
      <c r="AD664" t="str">
        <f t="shared" si="112"/>
        <v>West</v>
      </c>
      <c r="AE664" t="str">
        <f t="shared" si="120"/>
        <v>Clean</v>
      </c>
      <c r="AF664" t="str">
        <f t="shared" si="113"/>
        <v>Same Day</v>
      </c>
    </row>
    <row r="665" spans="1:32">
      <c r="A665" t="s">
        <v>5420</v>
      </c>
      <c r="B665" s="4">
        <v>45327</v>
      </c>
      <c r="C665" s="4">
        <v>45420</v>
      </c>
      <c r="D665" t="s">
        <v>5421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  <c r="V665" t="str">
        <f t="shared" si="114"/>
        <v>May</v>
      </c>
      <c r="W665" t="str">
        <f t="shared" si="115"/>
        <v>OK</v>
      </c>
      <c r="X665" s="5" t="str">
        <f t="shared" si="116"/>
        <v>Negative Discount</v>
      </c>
      <c r="Y665">
        <f t="shared" si="110"/>
        <v>-0.24</v>
      </c>
      <c r="Z665">
        <f t="shared" si="111"/>
        <v>1</v>
      </c>
      <c r="AA665">
        <f t="shared" si="117"/>
        <v>4745.8448000000008</v>
      </c>
      <c r="AB665">
        <f t="shared" si="118"/>
        <v>7898.8248000000003</v>
      </c>
      <c r="AC665">
        <f t="shared" si="119"/>
        <v>93</v>
      </c>
      <c r="AD665" t="str">
        <f t="shared" si="112"/>
        <v>East</v>
      </c>
      <c r="AE665" t="str">
        <f t="shared" si="120"/>
        <v>Invalid</v>
      </c>
      <c r="AF665" t="str">
        <f t="shared" si="113"/>
        <v>Second Class</v>
      </c>
    </row>
    <row r="666" spans="1:32">
      <c r="A666" t="s">
        <v>5422</v>
      </c>
      <c r="B666" s="4">
        <v>45485</v>
      </c>
      <c r="C666" s="4">
        <v>45636</v>
      </c>
      <c r="D666" t="s">
        <v>5423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  <c r="V666" t="str">
        <f t="shared" si="114"/>
        <v>December</v>
      </c>
      <c r="W666" t="str">
        <f t="shared" si="115"/>
        <v>OK</v>
      </c>
      <c r="X666" t="str">
        <f t="shared" si="116"/>
        <v>OK</v>
      </c>
      <c r="Y666">
        <f t="shared" si="110"/>
        <v>0.2</v>
      </c>
      <c r="Z666">
        <f t="shared" si="111"/>
        <v>1</v>
      </c>
      <c r="AA666">
        <f t="shared" si="117"/>
        <v>471.17399999999998</v>
      </c>
      <c r="AB666">
        <f t="shared" si="118"/>
        <v>1527.0640000000001</v>
      </c>
      <c r="AC666">
        <f t="shared" si="119"/>
        <v>151</v>
      </c>
      <c r="AD666" t="str">
        <f t="shared" si="112"/>
        <v>South</v>
      </c>
      <c r="AE666" t="str">
        <f t="shared" si="120"/>
        <v>Clean</v>
      </c>
      <c r="AF666" t="str">
        <f t="shared" si="113"/>
        <v>Standard Class</v>
      </c>
    </row>
    <row r="667" spans="1:32">
      <c r="A667" t="s">
        <v>5424</v>
      </c>
      <c r="B667" s="4">
        <v>45670</v>
      </c>
      <c r="C667" s="4">
        <v>45670</v>
      </c>
      <c r="D667" t="s">
        <v>5425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  <c r="V667" t="str">
        <f t="shared" si="114"/>
        <v>January</v>
      </c>
      <c r="W667" s="5" t="str">
        <f t="shared" si="115"/>
        <v>Invalid</v>
      </c>
      <c r="X667" t="str">
        <f t="shared" si="116"/>
        <v>OK</v>
      </c>
      <c r="Y667">
        <f t="shared" si="110"/>
        <v>0.1</v>
      </c>
      <c r="Z667">
        <f t="shared" si="111"/>
        <v>1</v>
      </c>
      <c r="AA667">
        <f t="shared" si="117"/>
        <v>2057.5139999999997</v>
      </c>
      <c r="AB667">
        <f t="shared" si="118"/>
        <v>5698.4039999999995</v>
      </c>
      <c r="AC667">
        <f t="shared" si="119"/>
        <v>0</v>
      </c>
      <c r="AD667" t="str">
        <f t="shared" si="112"/>
        <v>West</v>
      </c>
      <c r="AE667" t="str">
        <f t="shared" si="120"/>
        <v>Clean</v>
      </c>
      <c r="AF667" t="str">
        <f t="shared" si="113"/>
        <v>Standard Class</v>
      </c>
    </row>
    <row r="668" spans="1:32">
      <c r="A668" t="s">
        <v>5426</v>
      </c>
      <c r="B668" s="4">
        <v>45464</v>
      </c>
      <c r="C668" s="4">
        <v>45469</v>
      </c>
      <c r="D668" t="s">
        <v>5427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  <c r="V668" t="str">
        <f t="shared" si="114"/>
        <v>June</v>
      </c>
      <c r="W668" t="str">
        <f t="shared" si="115"/>
        <v>OK</v>
      </c>
      <c r="X668" t="str">
        <f t="shared" si="116"/>
        <v>OK</v>
      </c>
      <c r="Y668">
        <f t="shared" si="110"/>
        <v>0.05</v>
      </c>
      <c r="Z668">
        <f t="shared" si="111"/>
        <v>1</v>
      </c>
      <c r="AA668">
        <f t="shared" si="117"/>
        <v>42.348499999999945</v>
      </c>
      <c r="AB668">
        <f t="shared" si="118"/>
        <v>265.83849999999995</v>
      </c>
      <c r="AC668">
        <f t="shared" si="119"/>
        <v>5</v>
      </c>
      <c r="AD668" t="str">
        <f t="shared" si="112"/>
        <v>North</v>
      </c>
      <c r="AE668" t="str">
        <f t="shared" si="120"/>
        <v>Clean</v>
      </c>
      <c r="AF668" t="str">
        <f t="shared" si="113"/>
        <v>Same Day</v>
      </c>
    </row>
    <row r="669" spans="1:32">
      <c r="A669" t="s">
        <v>5428</v>
      </c>
      <c r="B669" s="4">
        <v>45797</v>
      </c>
      <c r="C669" s="4">
        <v>45804</v>
      </c>
      <c r="D669" t="s">
        <v>5429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  <c r="V669" t="str">
        <f t="shared" si="114"/>
        <v>May</v>
      </c>
      <c r="W669" t="str">
        <f t="shared" si="115"/>
        <v>OK</v>
      </c>
      <c r="X669" t="str">
        <f t="shared" si="116"/>
        <v>OK</v>
      </c>
      <c r="Y669">
        <f t="shared" si="110"/>
        <v>0</v>
      </c>
      <c r="Z669">
        <f t="shared" si="111"/>
        <v>1</v>
      </c>
      <c r="AA669">
        <f t="shared" si="117"/>
        <v>719.60999999999967</v>
      </c>
      <c r="AB669">
        <f t="shared" si="118"/>
        <v>3959.14</v>
      </c>
      <c r="AC669">
        <f t="shared" si="119"/>
        <v>7</v>
      </c>
      <c r="AD669" t="str">
        <f t="shared" si="112"/>
        <v>East</v>
      </c>
      <c r="AE669" t="str">
        <f t="shared" si="120"/>
        <v>Clean</v>
      </c>
      <c r="AF669" t="str">
        <f t="shared" si="113"/>
        <v>Standard Class</v>
      </c>
    </row>
    <row r="670" spans="1:32">
      <c r="A670" t="s">
        <v>5430</v>
      </c>
      <c r="B670" s="4">
        <v>45617</v>
      </c>
      <c r="C670" s="4">
        <v>45619</v>
      </c>
      <c r="D670" t="s">
        <v>5431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  <c r="V670" t="str">
        <f t="shared" si="114"/>
        <v>November</v>
      </c>
      <c r="W670" t="str">
        <f t="shared" si="115"/>
        <v>OK</v>
      </c>
      <c r="X670" t="str">
        <f t="shared" si="116"/>
        <v>OK</v>
      </c>
      <c r="Y670">
        <f t="shared" si="110"/>
        <v>0.2</v>
      </c>
      <c r="Z670">
        <f t="shared" si="111"/>
        <v>1</v>
      </c>
      <c r="AA670">
        <f t="shared" si="117"/>
        <v>528.73000000000025</v>
      </c>
      <c r="AB670">
        <f t="shared" si="118"/>
        <v>2401.84</v>
      </c>
      <c r="AC670">
        <f t="shared" si="119"/>
        <v>2</v>
      </c>
      <c r="AD670" t="str">
        <f t="shared" si="112"/>
        <v>West</v>
      </c>
      <c r="AE670" t="str">
        <f t="shared" si="120"/>
        <v>Clean</v>
      </c>
      <c r="AF670" t="str">
        <f t="shared" si="113"/>
        <v>Second Class</v>
      </c>
    </row>
    <row r="671" spans="1:32">
      <c r="A671" t="s">
        <v>5432</v>
      </c>
      <c r="B671" s="4">
        <v>45375</v>
      </c>
      <c r="C671" s="4">
        <v>45383</v>
      </c>
      <c r="D671" t="s">
        <v>5433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  <c r="V671" t="str">
        <f t="shared" si="114"/>
        <v>April</v>
      </c>
      <c r="W671" t="str">
        <f t="shared" si="115"/>
        <v>OK</v>
      </c>
      <c r="X671" t="str">
        <f t="shared" si="116"/>
        <v>OK</v>
      </c>
      <c r="Y671">
        <f t="shared" si="110"/>
        <v>0.25</v>
      </c>
      <c r="Z671">
        <f t="shared" si="111"/>
        <v>1</v>
      </c>
      <c r="AA671">
        <f t="shared" si="117"/>
        <v>1875.71</v>
      </c>
      <c r="AB671">
        <f t="shared" si="118"/>
        <v>5102.16</v>
      </c>
      <c r="AC671">
        <f t="shared" si="119"/>
        <v>8</v>
      </c>
      <c r="AD671" t="str">
        <f t="shared" si="112"/>
        <v>West</v>
      </c>
      <c r="AE671" t="str">
        <f t="shared" si="120"/>
        <v>Clean</v>
      </c>
      <c r="AF671" t="str">
        <f t="shared" si="113"/>
        <v>Second Class</v>
      </c>
    </row>
    <row r="672" spans="1:32">
      <c r="A672" t="s">
        <v>5434</v>
      </c>
      <c r="B672" s="4">
        <v>45690</v>
      </c>
      <c r="C672" s="4">
        <v>45694</v>
      </c>
      <c r="D672" t="s">
        <v>5106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  <c r="V672" t="str">
        <f t="shared" si="114"/>
        <v>February</v>
      </c>
      <c r="W672" t="str">
        <f t="shared" si="115"/>
        <v>OK</v>
      </c>
      <c r="X672" t="str">
        <f t="shared" si="116"/>
        <v>OK</v>
      </c>
      <c r="Y672">
        <f t="shared" si="110"/>
        <v>0.1</v>
      </c>
      <c r="Z672">
        <f t="shared" si="111"/>
        <v>1</v>
      </c>
      <c r="AA672">
        <f t="shared" si="117"/>
        <v>2615.6320000000005</v>
      </c>
      <c r="AB672">
        <f t="shared" si="118"/>
        <v>6176.5920000000006</v>
      </c>
      <c r="AC672">
        <f t="shared" si="119"/>
        <v>4</v>
      </c>
      <c r="AD672" t="str">
        <f t="shared" si="112"/>
        <v>North</v>
      </c>
      <c r="AE672" t="str">
        <f t="shared" si="120"/>
        <v>Clean</v>
      </c>
      <c r="AF672" t="str">
        <f t="shared" si="113"/>
        <v>Standard Class</v>
      </c>
    </row>
    <row r="673" spans="1:32">
      <c r="A673" t="s">
        <v>5435</v>
      </c>
      <c r="B673" s="4">
        <v>45373</v>
      </c>
      <c r="C673" s="4">
        <v>45378</v>
      </c>
      <c r="D673" t="s">
        <v>5436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94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  <c r="V673" t="str">
        <f t="shared" si="114"/>
        <v>March</v>
      </c>
      <c r="W673" t="str">
        <f t="shared" si="115"/>
        <v>OK</v>
      </c>
      <c r="X673" t="str">
        <f t="shared" si="116"/>
        <v>OK</v>
      </c>
      <c r="Y673">
        <f t="shared" si="110"/>
        <v>0.05</v>
      </c>
      <c r="Z673">
        <f t="shared" si="111"/>
        <v>1</v>
      </c>
      <c r="AA673">
        <f t="shared" si="117"/>
        <v>13465.180500000002</v>
      </c>
      <c r="AB673">
        <f t="shared" si="118"/>
        <v>31203.310500000003</v>
      </c>
      <c r="AC673">
        <f t="shared" si="119"/>
        <v>5</v>
      </c>
      <c r="AD673" t="str">
        <f t="shared" si="112"/>
        <v>West</v>
      </c>
      <c r="AE673" t="str">
        <f t="shared" si="120"/>
        <v>Clean</v>
      </c>
      <c r="AF673" t="str">
        <f t="shared" si="113"/>
        <v>Second Class</v>
      </c>
    </row>
    <row r="674" spans="1:32">
      <c r="A674" t="s">
        <v>5437</v>
      </c>
      <c r="B674" s="4">
        <v>45391</v>
      </c>
      <c r="C674" s="4">
        <v>45540</v>
      </c>
      <c r="D674" t="s">
        <v>5438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  <c r="V674" t="str">
        <f t="shared" si="114"/>
        <v>September</v>
      </c>
      <c r="W674" t="str">
        <f t="shared" si="115"/>
        <v>OK</v>
      </c>
      <c r="X674" t="str">
        <f t="shared" si="116"/>
        <v>OK</v>
      </c>
      <c r="Y674">
        <f t="shared" si="110"/>
        <v>0.05</v>
      </c>
      <c r="Z674">
        <f t="shared" si="111"/>
        <v>1</v>
      </c>
      <c r="AA674">
        <f t="shared" si="117"/>
        <v>4145.9075000000003</v>
      </c>
      <c r="AB674">
        <f t="shared" si="118"/>
        <v>12010.5175</v>
      </c>
      <c r="AC674">
        <f t="shared" si="119"/>
        <v>149</v>
      </c>
      <c r="AD674" t="str">
        <f t="shared" si="112"/>
        <v>West</v>
      </c>
      <c r="AE674" t="str">
        <f t="shared" si="120"/>
        <v>Clean</v>
      </c>
      <c r="AF674" t="str">
        <f t="shared" si="113"/>
        <v>Standard Class</v>
      </c>
    </row>
    <row r="675" spans="1:32">
      <c r="A675" t="s">
        <v>5439</v>
      </c>
      <c r="B675" s="4">
        <v>45701</v>
      </c>
      <c r="C675" s="4">
        <v>45704</v>
      </c>
      <c r="D675" t="s">
        <v>5440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  <c r="V675" t="str">
        <f t="shared" si="114"/>
        <v>February</v>
      </c>
      <c r="W675" t="str">
        <f t="shared" si="115"/>
        <v>OK</v>
      </c>
      <c r="X675" t="str">
        <f t="shared" si="116"/>
        <v>OK</v>
      </c>
      <c r="Y675">
        <f t="shared" si="110"/>
        <v>0.15</v>
      </c>
      <c r="Z675">
        <f t="shared" si="111"/>
        <v>1</v>
      </c>
      <c r="AA675">
        <f t="shared" si="117"/>
        <v>5376.08</v>
      </c>
      <c r="AB675">
        <f t="shared" si="118"/>
        <v>13847.86</v>
      </c>
      <c r="AC675">
        <f t="shared" si="119"/>
        <v>3</v>
      </c>
      <c r="AD675" t="str">
        <f t="shared" si="112"/>
        <v>West</v>
      </c>
      <c r="AE675" t="str">
        <f t="shared" si="120"/>
        <v>Clean</v>
      </c>
      <c r="AF675" t="str">
        <f t="shared" si="113"/>
        <v>Second Class</v>
      </c>
    </row>
    <row r="676" spans="1:32">
      <c r="A676" t="s">
        <v>5441</v>
      </c>
      <c r="B676" s="4">
        <v>45430</v>
      </c>
      <c r="C676" s="4">
        <v>45433</v>
      </c>
      <c r="D676" t="s">
        <v>5442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  <c r="V676" t="str">
        <f t="shared" si="114"/>
        <v>May</v>
      </c>
      <c r="W676" t="str">
        <f t="shared" si="115"/>
        <v>OK</v>
      </c>
      <c r="X676" t="str">
        <f t="shared" si="116"/>
        <v>OK</v>
      </c>
      <c r="Y676">
        <f t="shared" si="110"/>
        <v>0</v>
      </c>
      <c r="Z676">
        <f t="shared" si="111"/>
        <v>1</v>
      </c>
      <c r="AA676">
        <f t="shared" si="117"/>
        <v>402.89</v>
      </c>
      <c r="AB676">
        <f t="shared" si="118"/>
        <v>1033.71</v>
      </c>
      <c r="AC676">
        <f t="shared" si="119"/>
        <v>3</v>
      </c>
      <c r="AD676" t="str">
        <f t="shared" si="112"/>
        <v>East</v>
      </c>
      <c r="AE676" t="str">
        <f t="shared" si="120"/>
        <v>Clean</v>
      </c>
      <c r="AF676" t="str">
        <f t="shared" si="113"/>
        <v>Second Class</v>
      </c>
    </row>
    <row r="677" spans="1:32">
      <c r="A677" t="s">
        <v>5443</v>
      </c>
      <c r="B677" s="4">
        <v>45815</v>
      </c>
      <c r="C677" s="4">
        <v>45936</v>
      </c>
      <c r="D677" t="s">
        <v>5379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  <c r="V677" t="str">
        <f t="shared" si="114"/>
        <v>October</v>
      </c>
      <c r="W677" t="str">
        <f t="shared" si="115"/>
        <v>OK</v>
      </c>
      <c r="X677" t="str">
        <f t="shared" si="116"/>
        <v>OK</v>
      </c>
      <c r="Y677">
        <f t="shared" si="110"/>
        <v>0</v>
      </c>
      <c r="Z677">
        <f t="shared" si="111"/>
        <v>1</v>
      </c>
      <c r="AA677">
        <f t="shared" si="117"/>
        <v>1078.5499999999997</v>
      </c>
      <c r="AB677">
        <f t="shared" si="118"/>
        <v>2889.7799999999997</v>
      </c>
      <c r="AC677">
        <f t="shared" si="119"/>
        <v>121</v>
      </c>
      <c r="AD677" t="str">
        <f t="shared" si="112"/>
        <v>North</v>
      </c>
      <c r="AE677" t="str">
        <f t="shared" si="120"/>
        <v>Clean</v>
      </c>
      <c r="AF677" t="str">
        <f t="shared" si="113"/>
        <v>Same Day</v>
      </c>
    </row>
    <row r="678" spans="1:32">
      <c r="A678" t="s">
        <v>5444</v>
      </c>
      <c r="B678" s="4">
        <v>45970</v>
      </c>
      <c r="C678" s="4">
        <v>45918</v>
      </c>
      <c r="D678" t="s">
        <v>5445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  <c r="V678" t="str">
        <f t="shared" si="114"/>
        <v>September</v>
      </c>
      <c r="W678" s="5" t="str">
        <f t="shared" si="115"/>
        <v>Invalid</v>
      </c>
      <c r="X678" t="str">
        <f t="shared" si="116"/>
        <v>OK</v>
      </c>
      <c r="Y678">
        <f t="shared" si="110"/>
        <v>0.15</v>
      </c>
      <c r="Z678">
        <f t="shared" si="111"/>
        <v>1</v>
      </c>
      <c r="AA678">
        <f t="shared" si="117"/>
        <v>5375.829499999998</v>
      </c>
      <c r="AB678">
        <f t="shared" si="118"/>
        <v>20296.699499999999</v>
      </c>
      <c r="AC678" s="5">
        <f t="shared" si="119"/>
        <v>-52</v>
      </c>
      <c r="AD678" t="str">
        <f t="shared" si="112"/>
        <v>North</v>
      </c>
      <c r="AE678" t="str">
        <f t="shared" si="120"/>
        <v>Invalid</v>
      </c>
      <c r="AF678" t="str">
        <f t="shared" si="113"/>
        <v>Same Day</v>
      </c>
    </row>
    <row r="679" spans="1:32">
      <c r="A679" t="s">
        <v>5446</v>
      </c>
      <c r="B679" s="4">
        <v>45465</v>
      </c>
      <c r="C679" s="4">
        <v>45470</v>
      </c>
      <c r="D679" t="s">
        <v>4118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  <c r="V679" t="str">
        <f t="shared" si="114"/>
        <v>June</v>
      </c>
      <c r="W679" t="str">
        <f t="shared" si="115"/>
        <v>OK</v>
      </c>
      <c r="X679" t="str">
        <f t="shared" si="116"/>
        <v>OK</v>
      </c>
      <c r="Y679">
        <f t="shared" si="110"/>
        <v>0</v>
      </c>
      <c r="Z679">
        <f t="shared" si="111"/>
        <v>1</v>
      </c>
      <c r="AA679">
        <f t="shared" si="117"/>
        <v>2918.5500000000011</v>
      </c>
      <c r="AB679">
        <f t="shared" si="118"/>
        <v>18364.36</v>
      </c>
      <c r="AC679">
        <f t="shared" si="119"/>
        <v>5</v>
      </c>
      <c r="AD679" t="str">
        <f t="shared" si="112"/>
        <v>South</v>
      </c>
      <c r="AE679" t="str">
        <f t="shared" si="120"/>
        <v>Clean</v>
      </c>
      <c r="AF679" t="str">
        <f t="shared" si="113"/>
        <v>Same Day</v>
      </c>
    </row>
    <row r="680" spans="1:32">
      <c r="A680" t="s">
        <v>5447</v>
      </c>
      <c r="B680" s="4">
        <v>45620</v>
      </c>
      <c r="C680" s="4">
        <v>45303</v>
      </c>
      <c r="D680" t="s">
        <v>5448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  <c r="V680" t="str">
        <f t="shared" si="114"/>
        <v>January</v>
      </c>
      <c r="W680" s="5" t="str">
        <f t="shared" si="115"/>
        <v>Invalid</v>
      </c>
      <c r="X680" t="str">
        <f t="shared" si="116"/>
        <v>OK</v>
      </c>
      <c r="Y680">
        <f t="shared" si="110"/>
        <v>0.15</v>
      </c>
      <c r="Z680">
        <f t="shared" si="111"/>
        <v>1</v>
      </c>
      <c r="AA680">
        <f t="shared" si="117"/>
        <v>9465.2865000000002</v>
      </c>
      <c r="AB680">
        <f t="shared" si="118"/>
        <v>21141.6165</v>
      </c>
      <c r="AC680" s="5">
        <f t="shared" si="119"/>
        <v>-317</v>
      </c>
      <c r="AD680" t="str">
        <f t="shared" si="112"/>
        <v>South</v>
      </c>
      <c r="AE680" t="str">
        <f t="shared" si="120"/>
        <v>Invalid</v>
      </c>
      <c r="AF680" t="str">
        <f t="shared" si="113"/>
        <v>Second Class</v>
      </c>
    </row>
    <row r="681" spans="1:32">
      <c r="A681" t="s">
        <v>5449</v>
      </c>
      <c r="B681" s="4">
        <v>45885</v>
      </c>
      <c r="C681" s="4">
        <v>45892</v>
      </c>
      <c r="D681" t="s">
        <v>5450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s="7">
        <v>7.0000000000000007E-2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  <c r="V681" t="str">
        <f t="shared" si="114"/>
        <v>August</v>
      </c>
      <c r="W681" t="str">
        <f t="shared" si="115"/>
        <v>OK</v>
      </c>
      <c r="X681" t="str">
        <f t="shared" si="116"/>
        <v>OK</v>
      </c>
      <c r="Y681">
        <f t="shared" si="110"/>
        <v>7.0000000000000007E-2</v>
      </c>
      <c r="Z681">
        <f t="shared" si="111"/>
        <v>1</v>
      </c>
      <c r="AA681">
        <f t="shared" si="117"/>
        <v>1365.8103999999994</v>
      </c>
      <c r="AB681">
        <f t="shared" si="118"/>
        <v>5247.3203999999996</v>
      </c>
      <c r="AC681">
        <f t="shared" si="119"/>
        <v>7</v>
      </c>
      <c r="AD681" t="str">
        <f t="shared" si="112"/>
        <v>North</v>
      </c>
      <c r="AE681" t="str">
        <f t="shared" si="120"/>
        <v>Clean</v>
      </c>
      <c r="AF681" t="str">
        <f t="shared" si="113"/>
        <v>Same Day</v>
      </c>
    </row>
    <row r="682" spans="1:32">
      <c r="A682" t="s">
        <v>5451</v>
      </c>
      <c r="B682" s="4">
        <v>45441</v>
      </c>
      <c r="C682" s="4">
        <v>45448</v>
      </c>
      <c r="D682" t="s">
        <v>5452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  <c r="V682" t="str">
        <f t="shared" si="114"/>
        <v>June</v>
      </c>
      <c r="W682" t="str">
        <f t="shared" si="115"/>
        <v>OK</v>
      </c>
      <c r="X682" t="str">
        <f t="shared" si="116"/>
        <v>OK</v>
      </c>
      <c r="Y682">
        <f t="shared" si="110"/>
        <v>0</v>
      </c>
      <c r="Z682">
        <f t="shared" si="111"/>
        <v>1</v>
      </c>
      <c r="AA682">
        <f t="shared" si="117"/>
        <v>2752.5699999999997</v>
      </c>
      <c r="AB682">
        <f t="shared" si="118"/>
        <v>14800.96</v>
      </c>
      <c r="AC682">
        <f t="shared" si="119"/>
        <v>7</v>
      </c>
      <c r="AD682" t="str">
        <f t="shared" si="112"/>
        <v>South</v>
      </c>
      <c r="AE682" t="str">
        <f t="shared" si="120"/>
        <v>Clean</v>
      </c>
      <c r="AF682" t="str">
        <f t="shared" si="113"/>
        <v>First Class</v>
      </c>
    </row>
    <row r="683" spans="1:32">
      <c r="A683" t="s">
        <v>5453</v>
      </c>
      <c r="B683" s="4">
        <v>45389</v>
      </c>
      <c r="C683" s="4">
        <v>45483</v>
      </c>
      <c r="D683" t="s">
        <v>5454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  <c r="V683" t="str">
        <f t="shared" si="114"/>
        <v>July</v>
      </c>
      <c r="W683" t="str">
        <f t="shared" si="115"/>
        <v>OK</v>
      </c>
      <c r="X683" t="str">
        <f t="shared" si="116"/>
        <v>OK</v>
      </c>
      <c r="Y683">
        <f t="shared" si="110"/>
        <v>0</v>
      </c>
      <c r="Z683">
        <f t="shared" si="111"/>
        <v>1</v>
      </c>
      <c r="AA683">
        <f t="shared" si="117"/>
        <v>1818.3600000000006</v>
      </c>
      <c r="AB683">
        <f t="shared" si="118"/>
        <v>6001.35</v>
      </c>
      <c r="AC683">
        <f t="shared" si="119"/>
        <v>94</v>
      </c>
      <c r="AD683" t="str">
        <f t="shared" si="112"/>
        <v>North</v>
      </c>
      <c r="AE683" t="str">
        <f t="shared" si="120"/>
        <v>Clean</v>
      </c>
      <c r="AF683" t="str">
        <f t="shared" si="113"/>
        <v>Second Class</v>
      </c>
    </row>
    <row r="684" spans="1:32">
      <c r="A684" t="s">
        <v>5455</v>
      </c>
      <c r="B684" s="4">
        <v>45779</v>
      </c>
      <c r="C684" s="4">
        <v>45693</v>
      </c>
      <c r="D684" t="s">
        <v>5456</v>
      </c>
      <c r="E684" t="s">
        <v>72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  <c r="V684" t="str">
        <f t="shared" si="114"/>
        <v>February</v>
      </c>
      <c r="W684" s="5" t="str">
        <f t="shared" si="115"/>
        <v>Invalid</v>
      </c>
      <c r="X684" t="str">
        <f t="shared" si="116"/>
        <v>OK</v>
      </c>
      <c r="Y684">
        <f t="shared" si="110"/>
        <v>0</v>
      </c>
      <c r="Z684">
        <f t="shared" si="111"/>
        <v>1</v>
      </c>
      <c r="AA684">
        <f t="shared" si="117"/>
        <v>3658.6800000000003</v>
      </c>
      <c r="AB684">
        <f t="shared" si="118"/>
        <v>7772.34</v>
      </c>
      <c r="AC684" s="5">
        <f t="shared" si="119"/>
        <v>-86</v>
      </c>
      <c r="AD684" t="str">
        <f t="shared" si="112"/>
        <v>North</v>
      </c>
      <c r="AE684" t="str">
        <f t="shared" si="120"/>
        <v>Invalid</v>
      </c>
      <c r="AF684" t="str">
        <f t="shared" si="113"/>
        <v>Same Day</v>
      </c>
    </row>
    <row r="685" spans="1:32">
      <c r="A685" t="s">
        <v>5457</v>
      </c>
      <c r="B685" s="4">
        <v>45858</v>
      </c>
      <c r="C685" s="4">
        <v>45862</v>
      </c>
      <c r="D685" t="s">
        <v>5458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  <c r="V685" t="str">
        <f t="shared" si="114"/>
        <v>July</v>
      </c>
      <c r="W685" t="str">
        <f t="shared" si="115"/>
        <v>OK</v>
      </c>
      <c r="X685" t="str">
        <f t="shared" si="116"/>
        <v>OK</v>
      </c>
      <c r="Y685">
        <f t="shared" si="110"/>
        <v>0.2</v>
      </c>
      <c r="Z685">
        <f t="shared" si="111"/>
        <v>1</v>
      </c>
      <c r="AA685">
        <f t="shared" si="117"/>
        <v>2390.9300000000012</v>
      </c>
      <c r="AB685">
        <f t="shared" si="118"/>
        <v>7902.9600000000009</v>
      </c>
      <c r="AC685">
        <f t="shared" si="119"/>
        <v>4</v>
      </c>
      <c r="AD685" t="str">
        <f t="shared" si="112"/>
        <v>South</v>
      </c>
      <c r="AE685" t="str">
        <f t="shared" si="120"/>
        <v>Clean</v>
      </c>
      <c r="AF685" t="str">
        <f t="shared" si="113"/>
        <v>Second Class</v>
      </c>
    </row>
    <row r="686" spans="1:32">
      <c r="A686" t="s">
        <v>5459</v>
      </c>
      <c r="B686" s="4">
        <v>45859</v>
      </c>
      <c r="C686" s="4">
        <v>45859</v>
      </c>
      <c r="D686" t="s">
        <v>5460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  <c r="V686" t="str">
        <f t="shared" si="114"/>
        <v>July</v>
      </c>
      <c r="W686" s="5" t="str">
        <f t="shared" si="115"/>
        <v>Invalid</v>
      </c>
      <c r="X686" t="str">
        <f t="shared" si="116"/>
        <v>OK</v>
      </c>
      <c r="Y686">
        <f t="shared" si="110"/>
        <v>0.2</v>
      </c>
      <c r="Z686">
        <f t="shared" si="111"/>
        <v>1</v>
      </c>
      <c r="AA686">
        <f t="shared" si="117"/>
        <v>7465.7599999999984</v>
      </c>
      <c r="AB686">
        <f t="shared" si="118"/>
        <v>24621.239999999998</v>
      </c>
      <c r="AC686">
        <f t="shared" si="119"/>
        <v>0</v>
      </c>
      <c r="AD686" t="str">
        <f t="shared" si="112"/>
        <v>South</v>
      </c>
      <c r="AE686" t="str">
        <f t="shared" si="120"/>
        <v>Clean</v>
      </c>
      <c r="AF686" t="str">
        <f t="shared" si="113"/>
        <v>First Class</v>
      </c>
    </row>
    <row r="687" spans="1:32">
      <c r="A687" t="s">
        <v>5461</v>
      </c>
      <c r="B687" s="4">
        <v>45667</v>
      </c>
      <c r="C687" s="4">
        <v>45933</v>
      </c>
      <c r="D687" t="s">
        <v>5243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  <c r="V687" t="str">
        <f t="shared" si="114"/>
        <v>October</v>
      </c>
      <c r="W687" t="str">
        <f t="shared" si="115"/>
        <v>OK</v>
      </c>
      <c r="X687" t="str">
        <f t="shared" si="116"/>
        <v>OK</v>
      </c>
      <c r="Y687">
        <f t="shared" si="110"/>
        <v>0.55000000000000004</v>
      </c>
      <c r="Z687">
        <f t="shared" si="111"/>
        <v>1</v>
      </c>
      <c r="AA687">
        <f t="shared" si="117"/>
        <v>-2293.2825000000007</v>
      </c>
      <c r="AB687">
        <f t="shared" si="118"/>
        <v>3313.5074999999993</v>
      </c>
      <c r="AC687">
        <f t="shared" si="119"/>
        <v>266</v>
      </c>
      <c r="AD687" t="str">
        <f t="shared" si="112"/>
        <v>West</v>
      </c>
      <c r="AE687" t="str">
        <f t="shared" si="120"/>
        <v>Clean</v>
      </c>
      <c r="AF687" t="str">
        <f t="shared" si="113"/>
        <v>Standard Class</v>
      </c>
    </row>
    <row r="688" spans="1:32">
      <c r="A688" t="s">
        <v>5462</v>
      </c>
      <c r="B688" s="4">
        <v>45376</v>
      </c>
      <c r="C688" s="4">
        <v>45326</v>
      </c>
      <c r="D688" t="s">
        <v>5463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  <c r="V688" t="str">
        <f t="shared" si="114"/>
        <v>February</v>
      </c>
      <c r="W688" s="5" t="str">
        <f t="shared" si="115"/>
        <v>Invalid</v>
      </c>
      <c r="X688" t="str">
        <f t="shared" si="116"/>
        <v>OK</v>
      </c>
      <c r="Y688">
        <f t="shared" si="110"/>
        <v>0</v>
      </c>
      <c r="Z688">
        <f t="shared" si="111"/>
        <v>1</v>
      </c>
      <c r="AA688">
        <f t="shared" si="117"/>
        <v>2043.3400000000001</v>
      </c>
      <c r="AB688">
        <f t="shared" si="118"/>
        <v>4698.26</v>
      </c>
      <c r="AC688" s="5">
        <f t="shared" si="119"/>
        <v>-50</v>
      </c>
      <c r="AD688" t="str">
        <f t="shared" si="112"/>
        <v>South</v>
      </c>
      <c r="AE688" t="str">
        <f t="shared" si="120"/>
        <v>Invalid</v>
      </c>
      <c r="AF688" t="str">
        <f t="shared" si="113"/>
        <v>Standard Class</v>
      </c>
    </row>
    <row r="689" spans="1:32">
      <c r="A689" t="s">
        <v>5464</v>
      </c>
      <c r="B689" s="4">
        <v>45879</v>
      </c>
      <c r="C689" s="4">
        <v>45943</v>
      </c>
      <c r="D689" t="s">
        <v>5465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  <c r="V689" t="str">
        <f t="shared" si="114"/>
        <v>October</v>
      </c>
      <c r="W689" t="str">
        <f t="shared" si="115"/>
        <v>OK</v>
      </c>
      <c r="X689" t="str">
        <f t="shared" si="116"/>
        <v>OK</v>
      </c>
      <c r="Y689">
        <f t="shared" si="110"/>
        <v>0</v>
      </c>
      <c r="Z689">
        <f t="shared" si="111"/>
        <v>1</v>
      </c>
      <c r="AA689">
        <f t="shared" si="117"/>
        <v>190.52000000000004</v>
      </c>
      <c r="AB689">
        <f t="shared" si="118"/>
        <v>688.2</v>
      </c>
      <c r="AC689">
        <f t="shared" si="119"/>
        <v>64</v>
      </c>
      <c r="AD689" t="str">
        <f t="shared" si="112"/>
        <v>North</v>
      </c>
      <c r="AE689" t="str">
        <f t="shared" si="120"/>
        <v>Clean</v>
      </c>
      <c r="AF689" t="str">
        <f t="shared" si="113"/>
        <v>First Class</v>
      </c>
    </row>
    <row r="690" spans="1:32">
      <c r="A690" t="s">
        <v>5466</v>
      </c>
      <c r="B690" s="4">
        <v>45714</v>
      </c>
      <c r="C690" s="4">
        <v>45715</v>
      </c>
      <c r="D690" t="s">
        <v>5467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  <c r="V690" t="str">
        <f t="shared" si="114"/>
        <v>February</v>
      </c>
      <c r="W690" t="str">
        <f t="shared" si="115"/>
        <v>OK</v>
      </c>
      <c r="X690" t="str">
        <f t="shared" si="116"/>
        <v>OK</v>
      </c>
      <c r="Y690">
        <f t="shared" si="110"/>
        <v>0.15</v>
      </c>
      <c r="Z690">
        <f t="shared" si="111"/>
        <v>1</v>
      </c>
      <c r="AA690">
        <f t="shared" si="117"/>
        <v>2910.8359999999993</v>
      </c>
      <c r="AB690">
        <f t="shared" si="118"/>
        <v>15492.065999999999</v>
      </c>
      <c r="AC690">
        <f t="shared" si="119"/>
        <v>1</v>
      </c>
      <c r="AD690" t="str">
        <f t="shared" si="112"/>
        <v>North</v>
      </c>
      <c r="AE690" t="str">
        <f t="shared" si="120"/>
        <v>Clean</v>
      </c>
      <c r="AF690" t="str">
        <f t="shared" si="113"/>
        <v>Second Class</v>
      </c>
    </row>
    <row r="691" spans="1:32">
      <c r="A691" t="s">
        <v>5468</v>
      </c>
      <c r="B691" s="4">
        <v>45570</v>
      </c>
      <c r="C691" s="4">
        <v>45571</v>
      </c>
      <c r="D691" t="s">
        <v>5469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  <c r="V691" t="str">
        <f t="shared" si="114"/>
        <v>October</v>
      </c>
      <c r="W691" t="str">
        <f t="shared" si="115"/>
        <v>OK</v>
      </c>
      <c r="X691" t="str">
        <f t="shared" si="116"/>
        <v>OK</v>
      </c>
      <c r="Y691">
        <f t="shared" si="110"/>
        <v>0.15</v>
      </c>
      <c r="Z691">
        <f t="shared" si="111"/>
        <v>1</v>
      </c>
      <c r="AA691">
        <f t="shared" si="117"/>
        <v>1442.6370000000002</v>
      </c>
      <c r="AB691">
        <f t="shared" si="118"/>
        <v>3745.2870000000003</v>
      </c>
      <c r="AC691">
        <f t="shared" si="119"/>
        <v>1</v>
      </c>
      <c r="AD691" t="str">
        <f t="shared" si="112"/>
        <v>North</v>
      </c>
      <c r="AE691" t="str">
        <f t="shared" si="120"/>
        <v>Clean</v>
      </c>
      <c r="AF691" t="str">
        <f t="shared" si="113"/>
        <v>Standard Class</v>
      </c>
    </row>
    <row r="692" spans="1:32">
      <c r="A692" t="s">
        <v>5470</v>
      </c>
      <c r="B692" s="4">
        <v>45605</v>
      </c>
      <c r="C692" s="4">
        <v>45550</v>
      </c>
      <c r="D692" t="s">
        <v>5471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  <c r="V692" t="str">
        <f t="shared" si="114"/>
        <v>September</v>
      </c>
      <c r="W692" s="5" t="str">
        <f t="shared" si="115"/>
        <v>Invalid</v>
      </c>
      <c r="X692" t="str">
        <f t="shared" si="116"/>
        <v>OK</v>
      </c>
      <c r="Y692">
        <f t="shared" si="110"/>
        <v>0</v>
      </c>
      <c r="Z692">
        <f t="shared" si="111"/>
        <v>1</v>
      </c>
      <c r="AA692">
        <f t="shared" si="117"/>
        <v>665.23</v>
      </c>
      <c r="AB692">
        <f t="shared" si="118"/>
        <v>3462.52</v>
      </c>
      <c r="AC692" s="5">
        <f t="shared" si="119"/>
        <v>-55</v>
      </c>
      <c r="AD692" t="str">
        <f t="shared" si="112"/>
        <v>South</v>
      </c>
      <c r="AE692" t="str">
        <f t="shared" si="120"/>
        <v>Invalid</v>
      </c>
      <c r="AF692" t="str">
        <f t="shared" si="113"/>
        <v>Standard Class</v>
      </c>
    </row>
    <row r="693" spans="1:32">
      <c r="A693" t="s">
        <v>5472</v>
      </c>
      <c r="B693" s="4">
        <v>45641</v>
      </c>
      <c r="C693" s="4">
        <v>45642</v>
      </c>
      <c r="D693" t="s">
        <v>5473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  <c r="V693" t="str">
        <f t="shared" si="114"/>
        <v>December</v>
      </c>
      <c r="W693" t="str">
        <f t="shared" si="115"/>
        <v>OK</v>
      </c>
      <c r="X693" t="str">
        <f t="shared" si="116"/>
        <v>OK</v>
      </c>
      <c r="Y693">
        <f t="shared" si="110"/>
        <v>0.05</v>
      </c>
      <c r="Z693">
        <f t="shared" si="111"/>
        <v>1</v>
      </c>
      <c r="AA693">
        <f t="shared" si="117"/>
        <v>3668.9699999999984</v>
      </c>
      <c r="AB693">
        <f t="shared" si="118"/>
        <v>8767.1699999999983</v>
      </c>
      <c r="AC693">
        <f t="shared" si="119"/>
        <v>1</v>
      </c>
      <c r="AD693" t="str">
        <f t="shared" si="112"/>
        <v>East</v>
      </c>
      <c r="AE693" t="str">
        <f t="shared" si="120"/>
        <v>Clean</v>
      </c>
      <c r="AF693" t="str">
        <f t="shared" si="113"/>
        <v>Second Class</v>
      </c>
    </row>
    <row r="694" spans="1:32">
      <c r="A694" t="s">
        <v>5474</v>
      </c>
      <c r="B694" s="4">
        <v>45935</v>
      </c>
      <c r="C694" s="4">
        <v>45940</v>
      </c>
      <c r="D694" t="s">
        <v>5475</v>
      </c>
      <c r="E694" t="s">
        <v>53</v>
      </c>
      <c r="F694" t="s">
        <v>108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  <c r="V694" t="str">
        <f t="shared" si="114"/>
        <v>October</v>
      </c>
      <c r="W694" t="str">
        <f t="shared" si="115"/>
        <v>OK</v>
      </c>
      <c r="X694" t="str">
        <f t="shared" si="116"/>
        <v>OK</v>
      </c>
      <c r="Y694">
        <f t="shared" si="110"/>
        <v>0.1</v>
      </c>
      <c r="Z694">
        <f t="shared" si="111"/>
        <v>1</v>
      </c>
      <c r="AA694">
        <f t="shared" si="117"/>
        <v>2612.6379999999999</v>
      </c>
      <c r="AB694">
        <f t="shared" si="118"/>
        <v>8516.4480000000003</v>
      </c>
      <c r="AC694">
        <f t="shared" si="119"/>
        <v>5</v>
      </c>
      <c r="AD694" t="str">
        <f t="shared" si="112"/>
        <v>South</v>
      </c>
      <c r="AE694" t="str">
        <f t="shared" si="120"/>
        <v>Clean</v>
      </c>
      <c r="AF694" t="str">
        <f t="shared" si="113"/>
        <v>Second Class</v>
      </c>
    </row>
    <row r="695" spans="1:32">
      <c r="A695" t="s">
        <v>5476</v>
      </c>
      <c r="B695" s="4">
        <v>45750</v>
      </c>
      <c r="C695" s="4">
        <v>45758</v>
      </c>
      <c r="D695" t="s">
        <v>5477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  <c r="V695" t="str">
        <f t="shared" si="114"/>
        <v>April</v>
      </c>
      <c r="W695" t="str">
        <f t="shared" si="115"/>
        <v>OK</v>
      </c>
      <c r="X695" t="str">
        <f t="shared" si="116"/>
        <v>OK</v>
      </c>
      <c r="Y695">
        <f t="shared" si="110"/>
        <v>0.05</v>
      </c>
      <c r="Z695">
        <f t="shared" si="111"/>
        <v>1</v>
      </c>
      <c r="AA695">
        <f t="shared" si="117"/>
        <v>3790.884500000001</v>
      </c>
      <c r="AB695">
        <f t="shared" si="118"/>
        <v>11826.844500000001</v>
      </c>
      <c r="AC695">
        <f t="shared" si="119"/>
        <v>8</v>
      </c>
      <c r="AD695" t="str">
        <f t="shared" si="112"/>
        <v>South</v>
      </c>
      <c r="AE695" t="str">
        <f t="shared" si="120"/>
        <v>Clean</v>
      </c>
      <c r="AF695" t="str">
        <f t="shared" si="113"/>
        <v>Second Class</v>
      </c>
    </row>
    <row r="696" spans="1:32">
      <c r="A696" t="s">
        <v>5478</v>
      </c>
      <c r="B696" s="4">
        <v>45870</v>
      </c>
      <c r="C696" s="4">
        <v>45878</v>
      </c>
      <c r="D696" t="s">
        <v>4800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  <c r="V696" t="str">
        <f t="shared" si="114"/>
        <v>August</v>
      </c>
      <c r="W696" t="str">
        <f t="shared" si="115"/>
        <v>OK</v>
      </c>
      <c r="X696" t="str">
        <f t="shared" si="116"/>
        <v>OK</v>
      </c>
      <c r="Y696">
        <f t="shared" si="110"/>
        <v>0.15</v>
      </c>
      <c r="Z696">
        <f t="shared" si="111"/>
        <v>1</v>
      </c>
      <c r="AA696">
        <f t="shared" si="117"/>
        <v>2001.8099999999995</v>
      </c>
      <c r="AB696">
        <f t="shared" si="118"/>
        <v>11629.019999999999</v>
      </c>
      <c r="AC696">
        <f t="shared" si="119"/>
        <v>8</v>
      </c>
      <c r="AD696" t="str">
        <f t="shared" si="112"/>
        <v>South</v>
      </c>
      <c r="AE696" t="str">
        <f t="shared" si="120"/>
        <v>Clean</v>
      </c>
      <c r="AF696" t="str">
        <f t="shared" si="113"/>
        <v>First Class</v>
      </c>
    </row>
    <row r="697" spans="1:32">
      <c r="A697" t="s">
        <v>5479</v>
      </c>
      <c r="B697" s="4">
        <v>45298</v>
      </c>
      <c r="C697" s="4">
        <v>45474</v>
      </c>
      <c r="D697" t="s">
        <v>5480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  <c r="V697" t="str">
        <f t="shared" si="114"/>
        <v>July</v>
      </c>
      <c r="W697" t="str">
        <f t="shared" si="115"/>
        <v>OK</v>
      </c>
      <c r="X697" t="str">
        <f t="shared" si="116"/>
        <v>OK</v>
      </c>
      <c r="Y697">
        <f t="shared" si="110"/>
        <v>0</v>
      </c>
      <c r="Z697">
        <f t="shared" si="111"/>
        <v>1</v>
      </c>
      <c r="AA697">
        <f t="shared" si="117"/>
        <v>403.2299999999999</v>
      </c>
      <c r="AB697">
        <f t="shared" si="118"/>
        <v>1029.56</v>
      </c>
      <c r="AC697">
        <f t="shared" si="119"/>
        <v>176</v>
      </c>
      <c r="AD697" t="str">
        <f t="shared" si="112"/>
        <v>West</v>
      </c>
      <c r="AE697" t="str">
        <f t="shared" si="120"/>
        <v>Clean</v>
      </c>
      <c r="AF697" t="str">
        <f t="shared" si="113"/>
        <v>Standard Class</v>
      </c>
    </row>
    <row r="698" spans="1:32">
      <c r="A698" t="s">
        <v>5481</v>
      </c>
      <c r="B698" s="4">
        <v>45922</v>
      </c>
      <c r="C698" s="4">
        <v>45925</v>
      </c>
      <c r="D698" t="s">
        <v>5482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M698" t="s">
        <v>4187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  <c r="V698" t="str">
        <f t="shared" si="114"/>
        <v>September</v>
      </c>
      <c r="W698" t="str">
        <f t="shared" si="115"/>
        <v>OK</v>
      </c>
      <c r="X698" t="str">
        <f t="shared" si="116"/>
        <v>OK</v>
      </c>
      <c r="Y698">
        <f t="shared" si="110"/>
        <v>0.25</v>
      </c>
      <c r="Z698">
        <f t="shared" si="111"/>
        <v>1</v>
      </c>
      <c r="AA698">
        <f t="shared" si="117"/>
        <v>1434.1099999999997</v>
      </c>
      <c r="AB698">
        <f t="shared" si="118"/>
        <v>3536.5199999999995</v>
      </c>
      <c r="AC698">
        <f t="shared" si="119"/>
        <v>3</v>
      </c>
      <c r="AD698" t="str">
        <f t="shared" si="112"/>
        <v>South</v>
      </c>
      <c r="AE698" t="str">
        <f t="shared" si="120"/>
        <v>Clean</v>
      </c>
      <c r="AF698" s="5" t="str">
        <f t="shared" si="113"/>
        <v>Unknown</v>
      </c>
    </row>
    <row r="699" spans="1:32">
      <c r="A699" t="s">
        <v>5483</v>
      </c>
      <c r="B699" s="4">
        <v>45660</v>
      </c>
      <c r="C699" s="4">
        <v>45723</v>
      </c>
      <c r="D699" t="s">
        <v>5484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  <c r="V699" t="str">
        <f t="shared" si="114"/>
        <v>March</v>
      </c>
      <c r="W699" t="str">
        <f t="shared" si="115"/>
        <v>OK</v>
      </c>
      <c r="X699" t="str">
        <f t="shared" si="116"/>
        <v>OK</v>
      </c>
      <c r="Y699">
        <f t="shared" si="110"/>
        <v>0</v>
      </c>
      <c r="Z699">
        <f t="shared" si="111"/>
        <v>1</v>
      </c>
      <c r="AA699">
        <f t="shared" si="117"/>
        <v>2120.75</v>
      </c>
      <c r="AB699">
        <f t="shared" si="118"/>
        <v>3970.0499999999997</v>
      </c>
      <c r="AC699">
        <f t="shared" si="119"/>
        <v>63</v>
      </c>
      <c r="AD699" t="str">
        <f t="shared" si="112"/>
        <v>South</v>
      </c>
      <c r="AE699" t="str">
        <f t="shared" si="120"/>
        <v>Clean</v>
      </c>
      <c r="AF699" t="str">
        <f t="shared" si="113"/>
        <v>First Class</v>
      </c>
    </row>
    <row r="700" spans="1:32">
      <c r="A700" t="s">
        <v>5485</v>
      </c>
      <c r="B700" s="4">
        <v>45549</v>
      </c>
      <c r="C700" s="4">
        <v>45549</v>
      </c>
      <c r="D700" t="s">
        <v>5486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  <c r="V700" t="str">
        <f t="shared" si="114"/>
        <v>September</v>
      </c>
      <c r="W700" s="5" t="str">
        <f t="shared" si="115"/>
        <v>Invalid</v>
      </c>
      <c r="X700" t="str">
        <f t="shared" si="116"/>
        <v>OK</v>
      </c>
      <c r="Y700">
        <f t="shared" si="110"/>
        <v>0.15</v>
      </c>
      <c r="Z700">
        <f t="shared" si="111"/>
        <v>1</v>
      </c>
      <c r="AA700">
        <f t="shared" si="117"/>
        <v>4003.377999999997</v>
      </c>
      <c r="AB700">
        <f t="shared" si="118"/>
        <v>27755.287999999997</v>
      </c>
      <c r="AC700">
        <f t="shared" si="119"/>
        <v>0</v>
      </c>
      <c r="AD700" t="str">
        <f t="shared" si="112"/>
        <v>North</v>
      </c>
      <c r="AE700" t="str">
        <f t="shared" si="120"/>
        <v>Clean</v>
      </c>
      <c r="AF700" t="str">
        <f t="shared" si="113"/>
        <v>Standard Class</v>
      </c>
    </row>
    <row r="701" spans="1:32">
      <c r="A701" t="s">
        <v>5487</v>
      </c>
      <c r="B701" s="4">
        <v>45602</v>
      </c>
      <c r="C701" s="4">
        <v>45454</v>
      </c>
      <c r="D701" t="s">
        <v>5488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  <c r="V701" t="str">
        <f t="shared" si="114"/>
        <v>June</v>
      </c>
      <c r="W701" s="5" t="str">
        <f t="shared" si="115"/>
        <v>Invalid</v>
      </c>
      <c r="X701" t="str">
        <f t="shared" si="116"/>
        <v>OK</v>
      </c>
      <c r="Y701">
        <f t="shared" si="110"/>
        <v>0.25</v>
      </c>
      <c r="Z701">
        <f t="shared" si="111"/>
        <v>1</v>
      </c>
      <c r="AA701">
        <f t="shared" si="117"/>
        <v>1652.1824999999999</v>
      </c>
      <c r="AB701">
        <f t="shared" si="118"/>
        <v>9450.7425000000003</v>
      </c>
      <c r="AC701" s="5">
        <f t="shared" si="119"/>
        <v>-148</v>
      </c>
      <c r="AD701" t="str">
        <f t="shared" si="112"/>
        <v>South</v>
      </c>
      <c r="AE701" t="str">
        <f t="shared" si="120"/>
        <v>Invalid</v>
      </c>
      <c r="AF701" t="str">
        <f t="shared" si="113"/>
        <v>Standard Class</v>
      </c>
    </row>
    <row r="702" spans="1:32">
      <c r="A702" t="s">
        <v>5489</v>
      </c>
      <c r="B702" s="4">
        <v>45553</v>
      </c>
      <c r="C702" s="4">
        <v>45556</v>
      </c>
      <c r="D702" t="s">
        <v>5490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  <c r="V702" t="str">
        <f t="shared" si="114"/>
        <v>September</v>
      </c>
      <c r="W702" t="str">
        <f t="shared" si="115"/>
        <v>OK</v>
      </c>
      <c r="X702" t="str">
        <f t="shared" si="116"/>
        <v>OK</v>
      </c>
      <c r="Y702">
        <f t="shared" si="110"/>
        <v>0.15</v>
      </c>
      <c r="Z702">
        <f t="shared" si="111"/>
        <v>1</v>
      </c>
      <c r="AA702">
        <f t="shared" si="117"/>
        <v>3100.8150000000005</v>
      </c>
      <c r="AB702">
        <f t="shared" si="118"/>
        <v>7792.5450000000001</v>
      </c>
      <c r="AC702">
        <f t="shared" si="119"/>
        <v>3</v>
      </c>
      <c r="AD702" t="str">
        <f t="shared" si="112"/>
        <v>East</v>
      </c>
      <c r="AE702" t="str">
        <f t="shared" si="120"/>
        <v>Clean</v>
      </c>
      <c r="AF702" t="str">
        <f t="shared" si="113"/>
        <v>Standard Class</v>
      </c>
    </row>
    <row r="703" spans="1:32">
      <c r="A703" t="s">
        <v>5491</v>
      </c>
      <c r="B703" s="4">
        <v>45412</v>
      </c>
      <c r="C703" s="4">
        <v>45416</v>
      </c>
      <c r="D703" t="s">
        <v>5492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  <c r="V703" t="str">
        <f t="shared" si="114"/>
        <v>May</v>
      </c>
      <c r="W703" t="str">
        <f t="shared" si="115"/>
        <v>OK</v>
      </c>
      <c r="X703" t="str">
        <f t="shared" si="116"/>
        <v>OK</v>
      </c>
      <c r="Y703">
        <f t="shared" si="110"/>
        <v>0</v>
      </c>
      <c r="Z703">
        <f t="shared" si="111"/>
        <v>1</v>
      </c>
      <c r="AA703">
        <f t="shared" si="117"/>
        <v>1888.7699999999995</v>
      </c>
      <c r="AB703">
        <f t="shared" si="118"/>
        <v>8574.58</v>
      </c>
      <c r="AC703">
        <f t="shared" si="119"/>
        <v>4</v>
      </c>
      <c r="AD703" t="str">
        <f t="shared" si="112"/>
        <v>West</v>
      </c>
      <c r="AE703" t="str">
        <f t="shared" si="120"/>
        <v>Clean</v>
      </c>
      <c r="AF703" t="str">
        <f t="shared" si="113"/>
        <v>Same Day</v>
      </c>
    </row>
    <row r="704" spans="1:32">
      <c r="A704" t="s">
        <v>5493</v>
      </c>
      <c r="B704" s="4">
        <v>45690</v>
      </c>
      <c r="C704" s="4">
        <v>45810</v>
      </c>
      <c r="D704" t="s">
        <v>5494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  <c r="V704" t="str">
        <f t="shared" si="114"/>
        <v>June</v>
      </c>
      <c r="W704" t="str">
        <f t="shared" si="115"/>
        <v>OK</v>
      </c>
      <c r="X704" t="str">
        <f t="shared" si="116"/>
        <v>OK</v>
      </c>
      <c r="Y704">
        <f t="shared" si="110"/>
        <v>0.1</v>
      </c>
      <c r="Z704">
        <f t="shared" si="111"/>
        <v>1</v>
      </c>
      <c r="AA704">
        <f t="shared" si="117"/>
        <v>872.73800000000028</v>
      </c>
      <c r="AB704">
        <f t="shared" si="118"/>
        <v>2692.8180000000002</v>
      </c>
      <c r="AC704">
        <f t="shared" si="119"/>
        <v>120</v>
      </c>
      <c r="AD704" t="str">
        <f t="shared" si="112"/>
        <v>West</v>
      </c>
      <c r="AE704" t="str">
        <f t="shared" si="120"/>
        <v>Clean</v>
      </c>
      <c r="AF704" t="str">
        <f t="shared" si="113"/>
        <v>Second Class</v>
      </c>
    </row>
    <row r="705" spans="1:32">
      <c r="A705" t="s">
        <v>5495</v>
      </c>
      <c r="B705" s="4">
        <v>45584</v>
      </c>
      <c r="C705" s="4">
        <v>45585</v>
      </c>
      <c r="D705" t="s">
        <v>5496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  <c r="V705" t="str">
        <f t="shared" si="114"/>
        <v>October</v>
      </c>
      <c r="W705" t="str">
        <f t="shared" si="115"/>
        <v>OK</v>
      </c>
      <c r="X705" t="str">
        <f t="shared" si="116"/>
        <v>OK</v>
      </c>
      <c r="Y705">
        <f t="shared" si="110"/>
        <v>0.1</v>
      </c>
      <c r="Z705">
        <f t="shared" si="111"/>
        <v>1</v>
      </c>
      <c r="AA705">
        <f t="shared" si="117"/>
        <v>180.67700000000002</v>
      </c>
      <c r="AB705">
        <f t="shared" si="118"/>
        <v>1035.027</v>
      </c>
      <c r="AC705">
        <f t="shared" si="119"/>
        <v>1</v>
      </c>
      <c r="AD705" t="str">
        <f t="shared" si="112"/>
        <v>North</v>
      </c>
      <c r="AE705" t="str">
        <f t="shared" si="120"/>
        <v>Clean</v>
      </c>
      <c r="AF705" t="str">
        <f t="shared" si="113"/>
        <v>First Class</v>
      </c>
    </row>
    <row r="706" spans="1:32">
      <c r="A706" t="s">
        <v>5497</v>
      </c>
      <c r="B706" s="4">
        <v>45364</v>
      </c>
      <c r="C706" s="4">
        <v>45371</v>
      </c>
      <c r="D706" t="s">
        <v>5498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M706" t="s">
        <v>4187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  <c r="V706" t="str">
        <f t="shared" si="114"/>
        <v>March</v>
      </c>
      <c r="W706" t="str">
        <f t="shared" si="115"/>
        <v>OK</v>
      </c>
      <c r="X706" t="str">
        <f t="shared" si="116"/>
        <v>OK</v>
      </c>
      <c r="Y706">
        <f t="shared" ref="Y706:Y769" si="121">IF(P706 ="",0,P706)</f>
        <v>0.15</v>
      </c>
      <c r="Z706">
        <f t="shared" ref="Z706:Z769" si="122">COUNTIF(A:A,A706)</f>
        <v>1</v>
      </c>
      <c r="AA706">
        <f t="shared" si="117"/>
        <v>581.44550000000004</v>
      </c>
      <c r="AB706">
        <f t="shared" si="118"/>
        <v>2401.7855</v>
      </c>
      <c r="AC706">
        <f t="shared" si="119"/>
        <v>7</v>
      </c>
      <c r="AD706" t="str">
        <f t="shared" ref="AD706:AD769" si="123">IF(G706="","Unknown",G706)</f>
        <v>South</v>
      </c>
      <c r="AE706" t="str">
        <f t="shared" si="120"/>
        <v>Clean</v>
      </c>
      <c r="AF706" s="5" t="str">
        <f t="shared" ref="AF706:AF769" si="124">IF(M706="","Unknown",M706)</f>
        <v>Unknown</v>
      </c>
    </row>
    <row r="707" spans="1:32">
      <c r="A707" t="s">
        <v>5499</v>
      </c>
      <c r="B707" s="4">
        <v>45513</v>
      </c>
      <c r="C707" s="4">
        <v>45549</v>
      </c>
      <c r="D707" t="s">
        <v>5500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  <c r="V707" t="str">
        <f t="shared" ref="V707:V770" si="125">TEXT(C707,"MMMM")</f>
        <v>September</v>
      </c>
      <c r="W707" t="str">
        <f t="shared" ref="W707:W770" si="126">IF(B707&lt;C707,"OK","Invalid")</f>
        <v>OK</v>
      </c>
      <c r="X707" t="str">
        <f t="shared" ref="X707:X770" si="127">IF(P707&lt;0,"Negative Discount","OK")</f>
        <v>OK</v>
      </c>
      <c r="Y707">
        <f t="shared" si="121"/>
        <v>0.05</v>
      </c>
      <c r="Z707">
        <f t="shared" si="122"/>
        <v>1</v>
      </c>
      <c r="AA707">
        <f t="shared" ref="AA707:AA770" si="128">AB707-R707</f>
        <v>4663.4325000000008</v>
      </c>
      <c r="AB707">
        <f t="shared" ref="AB707:AB770" si="129">N707*O707*(1-Y707)</f>
        <v>16015.8125</v>
      </c>
      <c r="AC707">
        <f t="shared" ref="AC707:AC770" si="130">C707-B707</f>
        <v>36</v>
      </c>
      <c r="AD707" t="str">
        <f t="shared" si="123"/>
        <v>North</v>
      </c>
      <c r="AE707" t="str">
        <f t="shared" ref="AE707:AE770" si="131">IF(OR(P707&lt;0,P707&gt;1,C707&lt;B707),"Invalid",IF(OR(G707="Unknown",M707="Unknown"),"Warning","Clean"))</f>
        <v>Clean</v>
      </c>
      <c r="AF707" t="str">
        <f t="shared" si="124"/>
        <v>Standard Class</v>
      </c>
    </row>
    <row r="708" spans="1:32">
      <c r="A708" t="s">
        <v>5501</v>
      </c>
      <c r="B708" s="4">
        <v>45467</v>
      </c>
      <c r="C708" s="4">
        <v>45471</v>
      </c>
      <c r="D708" t="s">
        <v>5502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  <c r="V708" t="str">
        <f t="shared" si="125"/>
        <v>June</v>
      </c>
      <c r="W708" t="str">
        <f t="shared" si="126"/>
        <v>OK</v>
      </c>
      <c r="X708" t="str">
        <f t="shared" si="127"/>
        <v>OK</v>
      </c>
      <c r="Y708">
        <f t="shared" si="121"/>
        <v>0.1</v>
      </c>
      <c r="Z708">
        <f t="shared" si="122"/>
        <v>1</v>
      </c>
      <c r="AA708">
        <f t="shared" si="128"/>
        <v>547.19500000000016</v>
      </c>
      <c r="AB708">
        <f t="shared" si="129"/>
        <v>1901.4750000000001</v>
      </c>
      <c r="AC708">
        <f t="shared" si="130"/>
        <v>4</v>
      </c>
      <c r="AD708" t="str">
        <f t="shared" si="123"/>
        <v>East</v>
      </c>
      <c r="AE708" t="str">
        <f t="shared" si="131"/>
        <v>Clean</v>
      </c>
      <c r="AF708" t="str">
        <f t="shared" si="124"/>
        <v>Same Day</v>
      </c>
    </row>
    <row r="709" spans="1:32">
      <c r="A709" t="s">
        <v>5503</v>
      </c>
      <c r="B709" s="4">
        <v>45832</v>
      </c>
      <c r="C709" s="4">
        <v>45834</v>
      </c>
      <c r="D709" t="s">
        <v>5504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  <c r="V709" t="str">
        <f t="shared" si="125"/>
        <v>June</v>
      </c>
      <c r="W709" t="str">
        <f t="shared" si="126"/>
        <v>OK</v>
      </c>
      <c r="X709" t="str">
        <f t="shared" si="127"/>
        <v>OK</v>
      </c>
      <c r="Y709">
        <f t="shared" si="121"/>
        <v>0.55000000000000004</v>
      </c>
      <c r="Z709">
        <f t="shared" si="122"/>
        <v>1</v>
      </c>
      <c r="AA709">
        <f t="shared" si="128"/>
        <v>-3302.3350000000009</v>
      </c>
      <c r="AB709">
        <f t="shared" si="129"/>
        <v>8375.9849999999988</v>
      </c>
      <c r="AC709">
        <f t="shared" si="130"/>
        <v>2</v>
      </c>
      <c r="AD709" t="str">
        <f t="shared" si="123"/>
        <v>North</v>
      </c>
      <c r="AE709" t="str">
        <f t="shared" si="131"/>
        <v>Clean</v>
      </c>
      <c r="AF709" t="str">
        <f t="shared" si="124"/>
        <v>Same Day</v>
      </c>
    </row>
    <row r="710" spans="1:32">
      <c r="A710" t="s">
        <v>5505</v>
      </c>
      <c r="B710" s="4">
        <v>45736</v>
      </c>
      <c r="C710" s="4">
        <v>45742</v>
      </c>
      <c r="D710" t="s">
        <v>5506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  <c r="V710" t="str">
        <f t="shared" si="125"/>
        <v>March</v>
      </c>
      <c r="W710" t="str">
        <f t="shared" si="126"/>
        <v>OK</v>
      </c>
      <c r="X710" t="str">
        <f t="shared" si="127"/>
        <v>OK</v>
      </c>
      <c r="Y710">
        <f t="shared" si="121"/>
        <v>0.05</v>
      </c>
      <c r="Z710">
        <f t="shared" si="122"/>
        <v>1</v>
      </c>
      <c r="AA710">
        <f t="shared" si="128"/>
        <v>3325.3179999999993</v>
      </c>
      <c r="AB710">
        <f t="shared" si="129"/>
        <v>16559.108</v>
      </c>
      <c r="AC710">
        <f t="shared" si="130"/>
        <v>6</v>
      </c>
      <c r="AD710" t="str">
        <f t="shared" si="123"/>
        <v>East</v>
      </c>
      <c r="AE710" t="str">
        <f t="shared" si="131"/>
        <v>Clean</v>
      </c>
      <c r="AF710" t="str">
        <f t="shared" si="124"/>
        <v>First Class</v>
      </c>
    </row>
    <row r="711" spans="1:32">
      <c r="A711" t="s">
        <v>5507</v>
      </c>
      <c r="B711" s="4">
        <v>45676</v>
      </c>
      <c r="C711" s="4">
        <v>45680</v>
      </c>
      <c r="D711" t="s">
        <v>5508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  <c r="V711" t="str">
        <f t="shared" si="125"/>
        <v>January</v>
      </c>
      <c r="W711" t="str">
        <f t="shared" si="126"/>
        <v>OK</v>
      </c>
      <c r="X711" t="str">
        <f t="shared" si="127"/>
        <v>OK</v>
      </c>
      <c r="Y711">
        <f t="shared" si="121"/>
        <v>0.15</v>
      </c>
      <c r="Z711">
        <f t="shared" si="122"/>
        <v>1</v>
      </c>
      <c r="AA711">
        <f t="shared" si="128"/>
        <v>1692.7679999999991</v>
      </c>
      <c r="AB711">
        <f t="shared" si="129"/>
        <v>8110.0879999999988</v>
      </c>
      <c r="AC711">
        <f t="shared" si="130"/>
        <v>4</v>
      </c>
      <c r="AD711" t="str">
        <f t="shared" si="123"/>
        <v>North</v>
      </c>
      <c r="AE711" t="str">
        <f t="shared" si="131"/>
        <v>Clean</v>
      </c>
      <c r="AF711" t="str">
        <f t="shared" si="124"/>
        <v>Same Day</v>
      </c>
    </row>
    <row r="712" spans="1:32">
      <c r="A712" t="s">
        <v>5509</v>
      </c>
      <c r="B712" s="4">
        <v>45633</v>
      </c>
      <c r="C712" s="4">
        <v>45492</v>
      </c>
      <c r="D712" t="s">
        <v>5510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  <c r="V712" t="str">
        <f t="shared" si="125"/>
        <v>July</v>
      </c>
      <c r="W712" s="5" t="str">
        <f t="shared" si="126"/>
        <v>Invalid</v>
      </c>
      <c r="X712" t="str">
        <f t="shared" si="127"/>
        <v>OK</v>
      </c>
      <c r="Y712">
        <f t="shared" si="121"/>
        <v>0.05</v>
      </c>
      <c r="Z712">
        <f t="shared" si="122"/>
        <v>1</v>
      </c>
      <c r="AA712">
        <f t="shared" si="128"/>
        <v>1464.2700000000004</v>
      </c>
      <c r="AB712">
        <f t="shared" si="129"/>
        <v>7406.01</v>
      </c>
      <c r="AC712" s="5">
        <f t="shared" si="130"/>
        <v>-141</v>
      </c>
      <c r="AD712" t="str">
        <f t="shared" si="123"/>
        <v>North</v>
      </c>
      <c r="AE712" t="str">
        <f t="shared" si="131"/>
        <v>Invalid</v>
      </c>
      <c r="AF712" t="str">
        <f t="shared" si="124"/>
        <v>Second Class</v>
      </c>
    </row>
    <row r="713" spans="1:32">
      <c r="A713" t="s">
        <v>5511</v>
      </c>
      <c r="B713" s="4">
        <v>45690</v>
      </c>
      <c r="C713" s="4">
        <v>45690</v>
      </c>
      <c r="D713" t="s">
        <v>5512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  <c r="V713" t="str">
        <f t="shared" si="125"/>
        <v>February</v>
      </c>
      <c r="W713" s="5" t="str">
        <f t="shared" si="126"/>
        <v>Invalid</v>
      </c>
      <c r="X713" t="str">
        <f t="shared" si="127"/>
        <v>OK</v>
      </c>
      <c r="Y713">
        <f t="shared" si="121"/>
        <v>0.05</v>
      </c>
      <c r="Z713">
        <f t="shared" si="122"/>
        <v>1</v>
      </c>
      <c r="AA713">
        <f t="shared" si="128"/>
        <v>1716.2724999999996</v>
      </c>
      <c r="AB713">
        <f t="shared" si="129"/>
        <v>4110.4124999999995</v>
      </c>
      <c r="AC713">
        <f t="shared" si="130"/>
        <v>0</v>
      </c>
      <c r="AD713" t="str">
        <f t="shared" si="123"/>
        <v>East</v>
      </c>
      <c r="AE713" t="str">
        <f t="shared" si="131"/>
        <v>Clean</v>
      </c>
      <c r="AF713" t="str">
        <f t="shared" si="124"/>
        <v>First Class</v>
      </c>
    </row>
    <row r="714" spans="1:32">
      <c r="A714" t="s">
        <v>5513</v>
      </c>
      <c r="B714" s="4">
        <v>45567</v>
      </c>
      <c r="C714" s="4">
        <v>45340</v>
      </c>
      <c r="D714" t="s">
        <v>5514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  <c r="V714" t="str">
        <f t="shared" si="125"/>
        <v>February</v>
      </c>
      <c r="W714" s="5" t="str">
        <f t="shared" si="126"/>
        <v>Invalid</v>
      </c>
      <c r="X714" t="str">
        <f t="shared" si="127"/>
        <v>OK</v>
      </c>
      <c r="Y714">
        <f t="shared" si="121"/>
        <v>0</v>
      </c>
      <c r="Z714">
        <f t="shared" si="122"/>
        <v>1</v>
      </c>
      <c r="AA714">
        <f t="shared" si="128"/>
        <v>2803.3599999999988</v>
      </c>
      <c r="AB714">
        <f t="shared" si="129"/>
        <v>9680.0199999999986</v>
      </c>
      <c r="AC714" s="5">
        <f t="shared" si="130"/>
        <v>-227</v>
      </c>
      <c r="AD714" t="str">
        <f t="shared" si="123"/>
        <v>West</v>
      </c>
      <c r="AE714" t="str">
        <f t="shared" si="131"/>
        <v>Invalid</v>
      </c>
      <c r="AF714" t="str">
        <f t="shared" si="124"/>
        <v>First Class</v>
      </c>
    </row>
    <row r="715" spans="1:32">
      <c r="A715" t="s">
        <v>5515</v>
      </c>
      <c r="B715" s="4">
        <v>45814</v>
      </c>
      <c r="C715" s="4">
        <v>45936</v>
      </c>
      <c r="D715" t="s">
        <v>4443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  <c r="V715" t="str">
        <f t="shared" si="125"/>
        <v>October</v>
      </c>
      <c r="W715" t="str">
        <f t="shared" si="126"/>
        <v>OK</v>
      </c>
      <c r="X715" t="str">
        <f t="shared" si="127"/>
        <v>OK</v>
      </c>
      <c r="Y715">
        <f t="shared" si="121"/>
        <v>0.25</v>
      </c>
      <c r="Z715">
        <f t="shared" si="122"/>
        <v>1</v>
      </c>
      <c r="AA715">
        <f t="shared" si="128"/>
        <v>85.347500000000025</v>
      </c>
      <c r="AB715">
        <f t="shared" si="129"/>
        <v>217.47750000000002</v>
      </c>
      <c r="AC715">
        <f t="shared" si="130"/>
        <v>122</v>
      </c>
      <c r="AD715" t="str">
        <f t="shared" si="123"/>
        <v>West</v>
      </c>
      <c r="AE715" t="str">
        <f t="shared" si="131"/>
        <v>Clean</v>
      </c>
      <c r="AF715" t="str">
        <f t="shared" si="124"/>
        <v>Second Class</v>
      </c>
    </row>
    <row r="716" spans="1:32">
      <c r="A716" t="s">
        <v>5516</v>
      </c>
      <c r="B716" s="4">
        <v>45738</v>
      </c>
      <c r="C716" s="4">
        <v>45739</v>
      </c>
      <c r="D716" t="s">
        <v>5517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  <c r="V716" t="str">
        <f t="shared" si="125"/>
        <v>March</v>
      </c>
      <c r="W716" t="str">
        <f t="shared" si="126"/>
        <v>OK</v>
      </c>
      <c r="X716" t="str">
        <f t="shared" si="127"/>
        <v>OK</v>
      </c>
      <c r="Y716">
        <f t="shared" si="121"/>
        <v>0</v>
      </c>
      <c r="Z716">
        <f t="shared" si="122"/>
        <v>1</v>
      </c>
      <c r="AA716">
        <f t="shared" si="128"/>
        <v>4700.4799999999996</v>
      </c>
      <c r="AB716">
        <f t="shared" si="129"/>
        <v>18675.18</v>
      </c>
      <c r="AC716">
        <f t="shared" si="130"/>
        <v>1</v>
      </c>
      <c r="AD716" t="str">
        <f t="shared" si="123"/>
        <v>North</v>
      </c>
      <c r="AE716" t="str">
        <f t="shared" si="131"/>
        <v>Clean</v>
      </c>
      <c r="AF716" t="str">
        <f t="shared" si="124"/>
        <v>Standard Class</v>
      </c>
    </row>
    <row r="717" spans="1:32">
      <c r="A717" t="s">
        <v>5518</v>
      </c>
      <c r="B717" s="4">
        <v>45891</v>
      </c>
      <c r="C717" s="4">
        <v>45896</v>
      </c>
      <c r="D717" t="s">
        <v>5519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  <c r="V717" t="str">
        <f t="shared" si="125"/>
        <v>August</v>
      </c>
      <c r="W717" t="str">
        <f t="shared" si="126"/>
        <v>OK</v>
      </c>
      <c r="X717" t="str">
        <f t="shared" si="127"/>
        <v>OK</v>
      </c>
      <c r="Y717">
        <f t="shared" si="121"/>
        <v>0</v>
      </c>
      <c r="Z717">
        <f t="shared" si="122"/>
        <v>1</v>
      </c>
      <c r="AA717">
        <f t="shared" si="128"/>
        <v>4409.6000000000004</v>
      </c>
      <c r="AB717">
        <f t="shared" si="129"/>
        <v>19901.63</v>
      </c>
      <c r="AC717">
        <f t="shared" si="130"/>
        <v>5</v>
      </c>
      <c r="AD717" t="str">
        <f t="shared" si="123"/>
        <v>North</v>
      </c>
      <c r="AE717" t="str">
        <f t="shared" si="131"/>
        <v>Clean</v>
      </c>
      <c r="AF717" t="str">
        <f t="shared" si="124"/>
        <v>Second Class</v>
      </c>
    </row>
    <row r="718" spans="1:32">
      <c r="A718" t="s">
        <v>5520</v>
      </c>
      <c r="B718" s="4">
        <v>45895</v>
      </c>
      <c r="C718" s="4">
        <v>45900</v>
      </c>
      <c r="D718" t="s">
        <v>5521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  <c r="V718" t="str">
        <f t="shared" si="125"/>
        <v>August</v>
      </c>
      <c r="W718" t="str">
        <f t="shared" si="126"/>
        <v>OK</v>
      </c>
      <c r="X718" t="str">
        <f t="shared" si="127"/>
        <v>OK</v>
      </c>
      <c r="Y718">
        <f t="shared" si="121"/>
        <v>0.15</v>
      </c>
      <c r="Z718">
        <f t="shared" si="122"/>
        <v>1</v>
      </c>
      <c r="AA718">
        <f t="shared" si="128"/>
        <v>1054.9369999999999</v>
      </c>
      <c r="AB718">
        <f t="shared" si="129"/>
        <v>2879.817</v>
      </c>
      <c r="AC718">
        <f t="shared" si="130"/>
        <v>5</v>
      </c>
      <c r="AD718" t="str">
        <f t="shared" si="123"/>
        <v>North</v>
      </c>
      <c r="AE718" t="str">
        <f t="shared" si="131"/>
        <v>Clean</v>
      </c>
      <c r="AF718" t="str">
        <f t="shared" si="124"/>
        <v>First Class</v>
      </c>
    </row>
    <row r="719" spans="1:32">
      <c r="A719" t="s">
        <v>5522</v>
      </c>
      <c r="B719" s="4">
        <v>45942</v>
      </c>
      <c r="C719" s="4">
        <v>45945</v>
      </c>
      <c r="D719" t="s">
        <v>5523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  <c r="V719" t="str">
        <f t="shared" si="125"/>
        <v>October</v>
      </c>
      <c r="W719" t="str">
        <f t="shared" si="126"/>
        <v>OK</v>
      </c>
      <c r="X719" t="str">
        <f t="shared" si="127"/>
        <v>OK</v>
      </c>
      <c r="Y719">
        <f t="shared" si="121"/>
        <v>0.2</v>
      </c>
      <c r="Z719">
        <f t="shared" si="122"/>
        <v>1</v>
      </c>
      <c r="AA719">
        <f t="shared" si="128"/>
        <v>6860.003999999999</v>
      </c>
      <c r="AB719">
        <f t="shared" si="129"/>
        <v>18712.223999999998</v>
      </c>
      <c r="AC719">
        <f t="shared" si="130"/>
        <v>3</v>
      </c>
      <c r="AD719" t="str">
        <f t="shared" si="123"/>
        <v>North</v>
      </c>
      <c r="AE719" t="str">
        <f t="shared" si="131"/>
        <v>Clean</v>
      </c>
      <c r="AF719" t="str">
        <f t="shared" si="124"/>
        <v>Standard Class</v>
      </c>
    </row>
    <row r="720" spans="1:32">
      <c r="A720" t="s">
        <v>5524</v>
      </c>
      <c r="B720" s="4">
        <v>45452</v>
      </c>
      <c r="C720" s="4">
        <v>45544</v>
      </c>
      <c r="D720" t="s">
        <v>5525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  <c r="V720" t="str">
        <f t="shared" si="125"/>
        <v>September</v>
      </c>
      <c r="W720" t="str">
        <f t="shared" si="126"/>
        <v>OK</v>
      </c>
      <c r="X720" t="str">
        <f t="shared" si="127"/>
        <v>OK</v>
      </c>
      <c r="Y720">
        <f t="shared" si="121"/>
        <v>0.2</v>
      </c>
      <c r="Z720">
        <f t="shared" si="122"/>
        <v>1</v>
      </c>
      <c r="AA720">
        <f t="shared" si="128"/>
        <v>1061.1279999999992</v>
      </c>
      <c r="AB720">
        <f t="shared" si="129"/>
        <v>4733.4479999999994</v>
      </c>
      <c r="AC720">
        <f t="shared" si="130"/>
        <v>92</v>
      </c>
      <c r="AD720" t="str">
        <f t="shared" si="123"/>
        <v>West</v>
      </c>
      <c r="AE720" t="str">
        <f t="shared" si="131"/>
        <v>Clean</v>
      </c>
      <c r="AF720" t="str">
        <f t="shared" si="124"/>
        <v>Same Day</v>
      </c>
    </row>
    <row r="721" spans="1:32">
      <c r="A721" t="s">
        <v>5526</v>
      </c>
      <c r="B721" s="4">
        <v>45878</v>
      </c>
      <c r="C721" s="4">
        <v>45909</v>
      </c>
      <c r="D721" t="s">
        <v>4158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  <c r="V721" t="str">
        <f t="shared" si="125"/>
        <v>September</v>
      </c>
      <c r="W721" t="str">
        <f t="shared" si="126"/>
        <v>OK</v>
      </c>
      <c r="X721" t="str">
        <f t="shared" si="127"/>
        <v>OK</v>
      </c>
      <c r="Y721">
        <f t="shared" si="121"/>
        <v>0.2</v>
      </c>
      <c r="Z721">
        <f t="shared" si="122"/>
        <v>1</v>
      </c>
      <c r="AA721">
        <f t="shared" si="128"/>
        <v>1530.9359999999997</v>
      </c>
      <c r="AB721">
        <f t="shared" si="129"/>
        <v>3795.8559999999998</v>
      </c>
      <c r="AC721">
        <f t="shared" si="130"/>
        <v>31</v>
      </c>
      <c r="AD721" t="str">
        <f t="shared" si="123"/>
        <v>West</v>
      </c>
      <c r="AE721" t="str">
        <f t="shared" si="131"/>
        <v>Clean</v>
      </c>
      <c r="AF721" t="str">
        <f t="shared" si="124"/>
        <v>Same Day</v>
      </c>
    </row>
    <row r="722" spans="1:32">
      <c r="A722" t="s">
        <v>5527</v>
      </c>
      <c r="B722" s="4">
        <v>45489</v>
      </c>
      <c r="C722" s="4">
        <v>45489</v>
      </c>
      <c r="D722" t="s">
        <v>5528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  <c r="V722" t="str">
        <f t="shared" si="125"/>
        <v>July</v>
      </c>
      <c r="W722" s="5" t="str">
        <f t="shared" si="126"/>
        <v>Invalid</v>
      </c>
      <c r="X722" t="str">
        <f t="shared" si="127"/>
        <v>OK</v>
      </c>
      <c r="Y722">
        <f t="shared" si="121"/>
        <v>0.15</v>
      </c>
      <c r="Z722">
        <f t="shared" si="122"/>
        <v>1</v>
      </c>
      <c r="AA722">
        <f t="shared" si="128"/>
        <v>2780.268</v>
      </c>
      <c r="AB722">
        <f t="shared" si="129"/>
        <v>15231.727999999999</v>
      </c>
      <c r="AC722">
        <f t="shared" si="130"/>
        <v>0</v>
      </c>
      <c r="AD722" t="str">
        <f t="shared" si="123"/>
        <v>West</v>
      </c>
      <c r="AE722" t="str">
        <f t="shared" si="131"/>
        <v>Clean</v>
      </c>
      <c r="AF722" t="str">
        <f t="shared" si="124"/>
        <v>Same Day</v>
      </c>
    </row>
    <row r="723" spans="1:32">
      <c r="A723" t="s">
        <v>5529</v>
      </c>
      <c r="B723" s="4">
        <v>45827</v>
      </c>
      <c r="C723" s="4">
        <v>45831</v>
      </c>
      <c r="D723" t="s">
        <v>5530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  <c r="V723" t="str">
        <f t="shared" si="125"/>
        <v>June</v>
      </c>
      <c r="W723" t="str">
        <f t="shared" si="126"/>
        <v>OK</v>
      </c>
      <c r="X723" t="str">
        <f t="shared" si="127"/>
        <v>OK</v>
      </c>
      <c r="Y723">
        <f t="shared" si="121"/>
        <v>0</v>
      </c>
      <c r="Z723">
        <f t="shared" si="122"/>
        <v>1</v>
      </c>
      <c r="AA723">
        <f t="shared" si="128"/>
        <v>3361.7199999999993</v>
      </c>
      <c r="AB723">
        <f t="shared" si="129"/>
        <v>13649.75</v>
      </c>
      <c r="AC723">
        <f t="shared" si="130"/>
        <v>4</v>
      </c>
      <c r="AD723" t="str">
        <f t="shared" si="123"/>
        <v>South</v>
      </c>
      <c r="AE723" t="str">
        <f t="shared" si="131"/>
        <v>Clean</v>
      </c>
      <c r="AF723" t="str">
        <f t="shared" si="124"/>
        <v>First Class</v>
      </c>
    </row>
    <row r="724" spans="1:32">
      <c r="A724" t="s">
        <v>5531</v>
      </c>
      <c r="B724" s="4">
        <v>45483</v>
      </c>
      <c r="C724" s="4">
        <v>45575</v>
      </c>
      <c r="D724" t="s">
        <v>5532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  <c r="V724" t="str">
        <f t="shared" si="125"/>
        <v>October</v>
      </c>
      <c r="W724" t="str">
        <f t="shared" si="126"/>
        <v>OK</v>
      </c>
      <c r="X724" t="str">
        <f t="shared" si="127"/>
        <v>OK</v>
      </c>
      <c r="Y724">
        <f t="shared" si="121"/>
        <v>0</v>
      </c>
      <c r="Z724">
        <f t="shared" si="122"/>
        <v>1</v>
      </c>
      <c r="AA724">
        <f t="shared" si="128"/>
        <v>1800</v>
      </c>
      <c r="AB724">
        <f t="shared" si="129"/>
        <v>4333.59</v>
      </c>
      <c r="AC724">
        <f t="shared" si="130"/>
        <v>92</v>
      </c>
      <c r="AD724" t="str">
        <f t="shared" si="123"/>
        <v>East</v>
      </c>
      <c r="AE724" t="str">
        <f t="shared" si="131"/>
        <v>Clean</v>
      </c>
      <c r="AF724" t="str">
        <f t="shared" si="124"/>
        <v>Second Class</v>
      </c>
    </row>
    <row r="725" spans="1:32">
      <c r="A725" t="s">
        <v>5533</v>
      </c>
      <c r="B725" s="4">
        <v>45818</v>
      </c>
      <c r="C725" s="4">
        <v>45943</v>
      </c>
      <c r="D725" t="s">
        <v>5534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  <c r="V725" t="str">
        <f t="shared" si="125"/>
        <v>October</v>
      </c>
      <c r="W725" t="str">
        <f t="shared" si="126"/>
        <v>OK</v>
      </c>
      <c r="X725" t="str">
        <f t="shared" si="127"/>
        <v>OK</v>
      </c>
      <c r="Y725">
        <f t="shared" si="121"/>
        <v>0.05</v>
      </c>
      <c r="Z725">
        <f t="shared" si="122"/>
        <v>1</v>
      </c>
      <c r="AA725">
        <f t="shared" si="128"/>
        <v>4044.1909999999989</v>
      </c>
      <c r="AB725">
        <f t="shared" si="129"/>
        <v>13634.000999999998</v>
      </c>
      <c r="AC725">
        <f t="shared" si="130"/>
        <v>125</v>
      </c>
      <c r="AD725" t="str">
        <f t="shared" si="123"/>
        <v>East</v>
      </c>
      <c r="AE725" t="str">
        <f t="shared" si="131"/>
        <v>Clean</v>
      </c>
      <c r="AF725" t="str">
        <f t="shared" si="124"/>
        <v>Standard Class</v>
      </c>
    </row>
    <row r="726" spans="1:32">
      <c r="A726" t="s">
        <v>5535</v>
      </c>
      <c r="B726" s="4">
        <v>45567</v>
      </c>
      <c r="C726" s="4">
        <v>45338</v>
      </c>
      <c r="D726" t="s">
        <v>5536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  <c r="V726" t="str">
        <f t="shared" si="125"/>
        <v>February</v>
      </c>
      <c r="W726" s="5" t="str">
        <f t="shared" si="126"/>
        <v>Invalid</v>
      </c>
      <c r="X726" t="str">
        <f t="shared" si="127"/>
        <v>OK</v>
      </c>
      <c r="Y726">
        <f t="shared" si="121"/>
        <v>0</v>
      </c>
      <c r="Z726">
        <f t="shared" si="122"/>
        <v>1</v>
      </c>
      <c r="AA726">
        <f t="shared" si="128"/>
        <v>262.52</v>
      </c>
      <c r="AB726">
        <f t="shared" si="129"/>
        <v>760.29</v>
      </c>
      <c r="AC726" s="5">
        <f t="shared" si="130"/>
        <v>-229</v>
      </c>
      <c r="AD726" t="str">
        <f t="shared" si="123"/>
        <v>West</v>
      </c>
      <c r="AE726" t="str">
        <f t="shared" si="131"/>
        <v>Invalid</v>
      </c>
      <c r="AF726" t="str">
        <f t="shared" si="124"/>
        <v>Second Class</v>
      </c>
    </row>
    <row r="727" spans="1:32">
      <c r="A727" t="s">
        <v>5537</v>
      </c>
      <c r="B727" s="4">
        <v>45787</v>
      </c>
      <c r="C727" s="4">
        <v>45942</v>
      </c>
      <c r="D727" t="s">
        <v>5538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  <c r="V727" t="str">
        <f t="shared" si="125"/>
        <v>October</v>
      </c>
      <c r="W727" t="str">
        <f t="shared" si="126"/>
        <v>OK</v>
      </c>
      <c r="X727" t="str">
        <f t="shared" si="127"/>
        <v>OK</v>
      </c>
      <c r="Y727">
        <f t="shared" si="121"/>
        <v>0</v>
      </c>
      <c r="Z727">
        <f t="shared" si="122"/>
        <v>1</v>
      </c>
      <c r="AA727">
        <f t="shared" si="128"/>
        <v>6421.6100000000006</v>
      </c>
      <c r="AB727">
        <f t="shared" si="129"/>
        <v>14943.11</v>
      </c>
      <c r="AC727">
        <f t="shared" si="130"/>
        <v>155</v>
      </c>
      <c r="AD727" t="str">
        <f t="shared" si="123"/>
        <v>South</v>
      </c>
      <c r="AE727" t="str">
        <f t="shared" si="131"/>
        <v>Clean</v>
      </c>
      <c r="AF727" t="str">
        <f t="shared" si="124"/>
        <v>Second Class</v>
      </c>
    </row>
    <row r="728" spans="1:32">
      <c r="A728" t="s">
        <v>5539</v>
      </c>
      <c r="B728" s="4">
        <v>45308</v>
      </c>
      <c r="C728" s="4">
        <v>45314</v>
      </c>
      <c r="D728" t="s">
        <v>5540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  <c r="V728" t="str">
        <f t="shared" si="125"/>
        <v>January</v>
      </c>
      <c r="W728" t="str">
        <f t="shared" si="126"/>
        <v>OK</v>
      </c>
      <c r="X728" t="str">
        <f t="shared" si="127"/>
        <v>OK</v>
      </c>
      <c r="Y728">
        <f t="shared" si="121"/>
        <v>0.2</v>
      </c>
      <c r="Z728">
        <f t="shared" si="122"/>
        <v>1</v>
      </c>
      <c r="AA728">
        <f t="shared" si="128"/>
        <v>2692.7799999999997</v>
      </c>
      <c r="AB728">
        <f t="shared" si="129"/>
        <v>8072</v>
      </c>
      <c r="AC728">
        <f t="shared" si="130"/>
        <v>6</v>
      </c>
      <c r="AD728" t="str">
        <f t="shared" si="123"/>
        <v>West</v>
      </c>
      <c r="AE728" t="str">
        <f t="shared" si="131"/>
        <v>Clean</v>
      </c>
      <c r="AF728" t="str">
        <f t="shared" si="124"/>
        <v>Standard Class</v>
      </c>
    </row>
    <row r="729" spans="1:32">
      <c r="A729" t="s">
        <v>5541</v>
      </c>
      <c r="B729" s="4">
        <v>45578</v>
      </c>
      <c r="C729" s="4">
        <v>45578</v>
      </c>
      <c r="D729" t="s">
        <v>5542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  <c r="V729" t="str">
        <f t="shared" si="125"/>
        <v>October</v>
      </c>
      <c r="W729" s="5" t="str">
        <f t="shared" si="126"/>
        <v>Invalid</v>
      </c>
      <c r="X729" t="str">
        <f t="shared" si="127"/>
        <v>OK</v>
      </c>
      <c r="Y729">
        <f t="shared" si="121"/>
        <v>0.05</v>
      </c>
      <c r="Z729">
        <f t="shared" si="122"/>
        <v>1</v>
      </c>
      <c r="AA729">
        <f t="shared" si="128"/>
        <v>9095.1659999999974</v>
      </c>
      <c r="AB729">
        <f t="shared" si="129"/>
        <v>28353.015999999996</v>
      </c>
      <c r="AC729">
        <f t="shared" si="130"/>
        <v>0</v>
      </c>
      <c r="AD729" t="str">
        <f t="shared" si="123"/>
        <v>East</v>
      </c>
      <c r="AE729" t="str">
        <f t="shared" si="131"/>
        <v>Clean</v>
      </c>
      <c r="AF729" t="str">
        <f t="shared" si="124"/>
        <v>Second Class</v>
      </c>
    </row>
    <row r="730" spans="1:32">
      <c r="A730" t="s">
        <v>5543</v>
      </c>
      <c r="B730" s="4">
        <v>45383</v>
      </c>
      <c r="C730" s="4">
        <v>45298</v>
      </c>
      <c r="D730" t="s">
        <v>5544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  <c r="V730" t="str">
        <f t="shared" si="125"/>
        <v>January</v>
      </c>
      <c r="W730" s="5" t="str">
        <f t="shared" si="126"/>
        <v>Invalid</v>
      </c>
      <c r="X730" t="str">
        <f t="shared" si="127"/>
        <v>OK</v>
      </c>
      <c r="Y730">
        <f t="shared" si="121"/>
        <v>0.15</v>
      </c>
      <c r="Z730">
        <f t="shared" si="122"/>
        <v>1</v>
      </c>
      <c r="AA730">
        <f t="shared" si="128"/>
        <v>813.73700000000008</v>
      </c>
      <c r="AB730">
        <f t="shared" si="129"/>
        <v>2008.567</v>
      </c>
      <c r="AC730" s="5">
        <f t="shared" si="130"/>
        <v>-85</v>
      </c>
      <c r="AD730" t="str">
        <f t="shared" si="123"/>
        <v>South</v>
      </c>
      <c r="AE730" t="str">
        <f t="shared" si="131"/>
        <v>Invalid</v>
      </c>
      <c r="AF730" t="str">
        <f t="shared" si="124"/>
        <v>First Class</v>
      </c>
    </row>
    <row r="731" spans="1:32">
      <c r="A731" t="s">
        <v>5545</v>
      </c>
      <c r="B731" s="4">
        <v>45794</v>
      </c>
      <c r="C731" s="4">
        <v>45802</v>
      </c>
      <c r="D731" t="s">
        <v>5546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  <c r="V731" t="str">
        <f t="shared" si="125"/>
        <v>May</v>
      </c>
      <c r="W731" t="str">
        <f t="shared" si="126"/>
        <v>OK</v>
      </c>
      <c r="X731" t="str">
        <f t="shared" si="127"/>
        <v>OK</v>
      </c>
      <c r="Y731">
        <f t="shared" si="121"/>
        <v>0.15</v>
      </c>
      <c r="Z731">
        <f t="shared" si="122"/>
        <v>1</v>
      </c>
      <c r="AA731">
        <f t="shared" si="128"/>
        <v>3717.6929999999993</v>
      </c>
      <c r="AB731">
        <f t="shared" si="129"/>
        <v>9234.2129999999997</v>
      </c>
      <c r="AC731">
        <f t="shared" si="130"/>
        <v>8</v>
      </c>
      <c r="AD731" t="str">
        <f t="shared" si="123"/>
        <v>South</v>
      </c>
      <c r="AE731" t="str">
        <f t="shared" si="131"/>
        <v>Clean</v>
      </c>
      <c r="AF731" t="str">
        <f t="shared" si="124"/>
        <v>Same Day</v>
      </c>
    </row>
    <row r="732" spans="1:32">
      <c r="A732" t="s">
        <v>5547</v>
      </c>
      <c r="B732" s="4">
        <v>45827</v>
      </c>
      <c r="C732" s="4">
        <v>45832</v>
      </c>
      <c r="D732" t="s">
        <v>5548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  <c r="V732" t="str">
        <f t="shared" si="125"/>
        <v>June</v>
      </c>
      <c r="W732" t="str">
        <f t="shared" si="126"/>
        <v>OK</v>
      </c>
      <c r="X732" t="str">
        <f t="shared" si="127"/>
        <v>OK</v>
      </c>
      <c r="Y732">
        <f t="shared" si="121"/>
        <v>0.15</v>
      </c>
      <c r="Z732">
        <f t="shared" si="122"/>
        <v>1</v>
      </c>
      <c r="AA732">
        <f t="shared" si="128"/>
        <v>431.86400000000003</v>
      </c>
      <c r="AB732">
        <f t="shared" si="129"/>
        <v>2658.8339999999998</v>
      </c>
      <c r="AC732">
        <f t="shared" si="130"/>
        <v>5</v>
      </c>
      <c r="AD732" t="str">
        <f t="shared" si="123"/>
        <v>East</v>
      </c>
      <c r="AE732" t="str">
        <f t="shared" si="131"/>
        <v>Clean</v>
      </c>
      <c r="AF732" t="str">
        <f t="shared" si="124"/>
        <v>Second Class</v>
      </c>
    </row>
    <row r="733" spans="1:32">
      <c r="A733" t="s">
        <v>5549</v>
      </c>
      <c r="B733" s="4">
        <v>45368</v>
      </c>
      <c r="C733" s="4">
        <v>45370</v>
      </c>
      <c r="D733" t="s">
        <v>5550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  <c r="V733" t="str">
        <f t="shared" si="125"/>
        <v>March</v>
      </c>
      <c r="W733" t="str">
        <f t="shared" si="126"/>
        <v>OK</v>
      </c>
      <c r="X733" t="str">
        <f t="shared" si="127"/>
        <v>OK</v>
      </c>
      <c r="Y733">
        <f t="shared" si="121"/>
        <v>0.1</v>
      </c>
      <c r="Z733">
        <f t="shared" si="122"/>
        <v>1</v>
      </c>
      <c r="AA733">
        <f t="shared" si="128"/>
        <v>5510.6080000000002</v>
      </c>
      <c r="AB733">
        <f t="shared" si="129"/>
        <v>15756.048000000001</v>
      </c>
      <c r="AC733">
        <f t="shared" si="130"/>
        <v>2</v>
      </c>
      <c r="AD733" t="str">
        <f t="shared" si="123"/>
        <v>East</v>
      </c>
      <c r="AE733" t="str">
        <f t="shared" si="131"/>
        <v>Clean</v>
      </c>
      <c r="AF733" t="str">
        <f t="shared" si="124"/>
        <v>First Class</v>
      </c>
    </row>
    <row r="734" spans="1:32">
      <c r="A734" t="s">
        <v>5551</v>
      </c>
      <c r="B734" s="4">
        <v>45624</v>
      </c>
      <c r="C734" s="4">
        <v>45632</v>
      </c>
      <c r="D734" t="s">
        <v>5552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  <c r="V734" t="str">
        <f t="shared" si="125"/>
        <v>December</v>
      </c>
      <c r="W734" t="str">
        <f t="shared" si="126"/>
        <v>OK</v>
      </c>
      <c r="X734" t="str">
        <f t="shared" si="127"/>
        <v>OK</v>
      </c>
      <c r="Y734">
        <f t="shared" si="121"/>
        <v>0</v>
      </c>
      <c r="Z734">
        <f t="shared" si="122"/>
        <v>1</v>
      </c>
      <c r="AA734">
        <f t="shared" si="128"/>
        <v>6191.130000000001</v>
      </c>
      <c r="AB734">
        <f t="shared" si="129"/>
        <v>14787.78</v>
      </c>
      <c r="AC734">
        <f t="shared" si="130"/>
        <v>8</v>
      </c>
      <c r="AD734" t="str">
        <f t="shared" si="123"/>
        <v>North</v>
      </c>
      <c r="AE734" t="str">
        <f t="shared" si="131"/>
        <v>Clean</v>
      </c>
      <c r="AF734" t="str">
        <f t="shared" si="124"/>
        <v>Standard Class</v>
      </c>
    </row>
    <row r="735" spans="1:32">
      <c r="A735" t="s">
        <v>5553</v>
      </c>
      <c r="B735" s="4">
        <v>45464</v>
      </c>
      <c r="C735" s="4">
        <v>45471</v>
      </c>
      <c r="D735" t="s">
        <v>5554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  <c r="V735" t="str">
        <f t="shared" si="125"/>
        <v>June</v>
      </c>
      <c r="W735" t="str">
        <f t="shared" si="126"/>
        <v>OK</v>
      </c>
      <c r="X735" t="str">
        <f t="shared" si="127"/>
        <v>OK</v>
      </c>
      <c r="Y735">
        <f t="shared" si="121"/>
        <v>0</v>
      </c>
      <c r="Z735">
        <f t="shared" si="122"/>
        <v>1</v>
      </c>
      <c r="AA735">
        <f t="shared" si="128"/>
        <v>9843.74</v>
      </c>
      <c r="AB735">
        <f t="shared" si="129"/>
        <v>25181.64</v>
      </c>
      <c r="AC735">
        <f t="shared" si="130"/>
        <v>7</v>
      </c>
      <c r="AD735" t="str">
        <f t="shared" si="123"/>
        <v>North</v>
      </c>
      <c r="AE735" t="str">
        <f t="shared" si="131"/>
        <v>Clean</v>
      </c>
      <c r="AF735" t="str">
        <f t="shared" si="124"/>
        <v>First Class</v>
      </c>
    </row>
    <row r="736" spans="1:32">
      <c r="A736" t="s">
        <v>5555</v>
      </c>
      <c r="B736" s="4">
        <v>45528</v>
      </c>
      <c r="C736" s="4">
        <v>45528</v>
      </c>
      <c r="D736" t="s">
        <v>5556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  <c r="V736" t="str">
        <f t="shared" si="125"/>
        <v>August</v>
      </c>
      <c r="W736" s="5" t="str">
        <f t="shared" si="126"/>
        <v>Invalid</v>
      </c>
      <c r="X736" t="str">
        <f t="shared" si="127"/>
        <v>OK</v>
      </c>
      <c r="Y736">
        <f t="shared" si="121"/>
        <v>0.2</v>
      </c>
      <c r="Z736">
        <f t="shared" si="122"/>
        <v>1</v>
      </c>
      <c r="AA736">
        <f t="shared" si="128"/>
        <v>2680.6820000000007</v>
      </c>
      <c r="AB736">
        <f t="shared" si="129"/>
        <v>8837.9520000000011</v>
      </c>
      <c r="AC736">
        <f t="shared" si="130"/>
        <v>0</v>
      </c>
      <c r="AD736" t="str">
        <f t="shared" si="123"/>
        <v>North</v>
      </c>
      <c r="AE736" t="str">
        <f t="shared" si="131"/>
        <v>Clean</v>
      </c>
      <c r="AF736" t="str">
        <f t="shared" si="124"/>
        <v>First Class</v>
      </c>
    </row>
    <row r="737" spans="1:32">
      <c r="A737" t="s">
        <v>5557</v>
      </c>
      <c r="B737" s="4">
        <v>45604</v>
      </c>
      <c r="C737" s="4">
        <v>45523</v>
      </c>
      <c r="D737" t="s">
        <v>5558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  <c r="V737" t="str">
        <f t="shared" si="125"/>
        <v>August</v>
      </c>
      <c r="W737" s="5" t="str">
        <f t="shared" si="126"/>
        <v>Invalid</v>
      </c>
      <c r="X737" t="str">
        <f t="shared" si="127"/>
        <v>OK</v>
      </c>
      <c r="Y737">
        <f t="shared" si="121"/>
        <v>0.2</v>
      </c>
      <c r="Z737">
        <f t="shared" si="122"/>
        <v>1</v>
      </c>
      <c r="AA737">
        <f t="shared" si="128"/>
        <v>1122.9220000000005</v>
      </c>
      <c r="AB737">
        <f t="shared" si="129"/>
        <v>7275.7920000000004</v>
      </c>
      <c r="AC737" s="5">
        <f t="shared" si="130"/>
        <v>-81</v>
      </c>
      <c r="AD737" t="str">
        <f t="shared" si="123"/>
        <v>West</v>
      </c>
      <c r="AE737" t="str">
        <f t="shared" si="131"/>
        <v>Invalid</v>
      </c>
      <c r="AF737" t="str">
        <f t="shared" si="124"/>
        <v>Standard Class</v>
      </c>
    </row>
    <row r="738" spans="1:32">
      <c r="A738" t="s">
        <v>5559</v>
      </c>
      <c r="B738" s="4">
        <v>45455</v>
      </c>
      <c r="C738" s="4">
        <v>45635</v>
      </c>
      <c r="D738" t="s">
        <v>5560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  <c r="V738" t="str">
        <f t="shared" si="125"/>
        <v>December</v>
      </c>
      <c r="W738" t="str">
        <f t="shared" si="126"/>
        <v>OK</v>
      </c>
      <c r="X738" t="str">
        <f t="shared" si="127"/>
        <v>OK</v>
      </c>
      <c r="Y738">
        <f t="shared" si="121"/>
        <v>0.1</v>
      </c>
      <c r="Z738">
        <f t="shared" si="122"/>
        <v>1</v>
      </c>
      <c r="AA738">
        <f t="shared" si="128"/>
        <v>1005.0450000000003</v>
      </c>
      <c r="AB738">
        <f t="shared" si="129"/>
        <v>2355.0750000000003</v>
      </c>
      <c r="AC738">
        <f t="shared" si="130"/>
        <v>180</v>
      </c>
      <c r="AD738" t="str">
        <f t="shared" si="123"/>
        <v>West</v>
      </c>
      <c r="AE738" t="str">
        <f t="shared" si="131"/>
        <v>Clean</v>
      </c>
      <c r="AF738" t="str">
        <f t="shared" si="124"/>
        <v>Second Class</v>
      </c>
    </row>
    <row r="739" spans="1:32">
      <c r="A739" t="s">
        <v>5561</v>
      </c>
      <c r="B739" s="4">
        <v>45567</v>
      </c>
      <c r="C739" s="4">
        <v>45332</v>
      </c>
      <c r="D739" t="s">
        <v>5562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  <c r="V739" t="str">
        <f t="shared" si="125"/>
        <v>February</v>
      </c>
      <c r="W739" s="5" t="str">
        <f t="shared" si="126"/>
        <v>Invalid</v>
      </c>
      <c r="X739" t="str">
        <f t="shared" si="127"/>
        <v>OK</v>
      </c>
      <c r="Y739">
        <f t="shared" si="121"/>
        <v>0</v>
      </c>
      <c r="Z739">
        <f t="shared" si="122"/>
        <v>1</v>
      </c>
      <c r="AA739">
        <f t="shared" si="128"/>
        <v>963.61999999999989</v>
      </c>
      <c r="AB739">
        <f t="shared" si="129"/>
        <v>3609.12</v>
      </c>
      <c r="AC739" s="5">
        <f t="shared" si="130"/>
        <v>-235</v>
      </c>
      <c r="AD739" t="str">
        <f t="shared" si="123"/>
        <v>West</v>
      </c>
      <c r="AE739" t="str">
        <f t="shared" si="131"/>
        <v>Invalid</v>
      </c>
      <c r="AF739" t="str">
        <f t="shared" si="124"/>
        <v>Same Day</v>
      </c>
    </row>
    <row r="740" spans="1:32">
      <c r="A740" t="s">
        <v>5563</v>
      </c>
      <c r="B740" s="4">
        <v>45708</v>
      </c>
      <c r="C740" s="4">
        <v>45710</v>
      </c>
      <c r="D740" t="s">
        <v>5564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  <c r="V740" t="str">
        <f t="shared" si="125"/>
        <v>February</v>
      </c>
      <c r="W740" t="str">
        <f t="shared" si="126"/>
        <v>OK</v>
      </c>
      <c r="X740" t="str">
        <f t="shared" si="127"/>
        <v>OK</v>
      </c>
      <c r="Y740">
        <f t="shared" si="121"/>
        <v>0</v>
      </c>
      <c r="Z740">
        <f t="shared" si="122"/>
        <v>1</v>
      </c>
      <c r="AA740">
        <f t="shared" si="128"/>
        <v>889.35000000000014</v>
      </c>
      <c r="AB740">
        <f t="shared" si="129"/>
        <v>2188.19</v>
      </c>
      <c r="AC740">
        <f t="shared" si="130"/>
        <v>2</v>
      </c>
      <c r="AD740" t="str">
        <f t="shared" si="123"/>
        <v>South</v>
      </c>
      <c r="AE740" t="str">
        <f t="shared" si="131"/>
        <v>Clean</v>
      </c>
      <c r="AF740" t="str">
        <f t="shared" si="124"/>
        <v>First Class</v>
      </c>
    </row>
    <row r="741" spans="1:32">
      <c r="A741" t="s">
        <v>5565</v>
      </c>
      <c r="B741" s="4">
        <v>45363</v>
      </c>
      <c r="C741" s="4">
        <v>45577</v>
      </c>
      <c r="D741" t="s">
        <v>5566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  <c r="V741" t="str">
        <f t="shared" si="125"/>
        <v>October</v>
      </c>
      <c r="W741" t="str">
        <f t="shared" si="126"/>
        <v>OK</v>
      </c>
      <c r="X741" t="str">
        <f t="shared" si="127"/>
        <v>OK</v>
      </c>
      <c r="Y741">
        <f t="shared" si="121"/>
        <v>0.05</v>
      </c>
      <c r="Z741">
        <f t="shared" si="122"/>
        <v>1</v>
      </c>
      <c r="AA741">
        <f t="shared" si="128"/>
        <v>3901.255000000001</v>
      </c>
      <c r="AB741">
        <f t="shared" si="129"/>
        <v>11370.835000000001</v>
      </c>
      <c r="AC741">
        <f t="shared" si="130"/>
        <v>214</v>
      </c>
      <c r="AD741" t="str">
        <f t="shared" si="123"/>
        <v>North</v>
      </c>
      <c r="AE741" t="str">
        <f t="shared" si="131"/>
        <v>Clean</v>
      </c>
      <c r="AF741" t="str">
        <f t="shared" si="124"/>
        <v>Standard Class</v>
      </c>
    </row>
    <row r="742" spans="1:32">
      <c r="A742" t="s">
        <v>5567</v>
      </c>
      <c r="B742" s="4">
        <v>45326</v>
      </c>
      <c r="C742" s="4">
        <v>45326</v>
      </c>
      <c r="D742" t="s">
        <v>4392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  <c r="V742" t="str">
        <f t="shared" si="125"/>
        <v>February</v>
      </c>
      <c r="W742" s="5" t="str">
        <f t="shared" si="126"/>
        <v>Invalid</v>
      </c>
      <c r="X742" t="str">
        <f t="shared" si="127"/>
        <v>OK</v>
      </c>
      <c r="Y742">
        <f t="shared" si="121"/>
        <v>0.1</v>
      </c>
      <c r="Z742">
        <f t="shared" si="122"/>
        <v>1</v>
      </c>
      <c r="AA742">
        <f t="shared" si="128"/>
        <v>2750.3000000000011</v>
      </c>
      <c r="AB742">
        <f t="shared" si="129"/>
        <v>9298.8000000000011</v>
      </c>
      <c r="AC742">
        <f t="shared" si="130"/>
        <v>0</v>
      </c>
      <c r="AD742" t="str">
        <f t="shared" si="123"/>
        <v>West</v>
      </c>
      <c r="AE742" t="str">
        <f t="shared" si="131"/>
        <v>Clean</v>
      </c>
      <c r="AF742" t="str">
        <f t="shared" si="124"/>
        <v>First Class</v>
      </c>
    </row>
    <row r="743" spans="1:32">
      <c r="A743" t="s">
        <v>5568</v>
      </c>
      <c r="B743" s="4">
        <v>45770</v>
      </c>
      <c r="C743" s="4">
        <v>45772</v>
      </c>
      <c r="D743" t="s">
        <v>5569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  <c r="V743" t="str">
        <f t="shared" si="125"/>
        <v>April</v>
      </c>
      <c r="W743" t="str">
        <f t="shared" si="126"/>
        <v>OK</v>
      </c>
      <c r="X743" t="str">
        <f t="shared" si="127"/>
        <v>OK</v>
      </c>
      <c r="Y743">
        <f t="shared" si="121"/>
        <v>0</v>
      </c>
      <c r="Z743">
        <f t="shared" si="122"/>
        <v>1</v>
      </c>
      <c r="AA743">
        <f t="shared" si="128"/>
        <v>3257.0200000000004</v>
      </c>
      <c r="AB743">
        <f t="shared" si="129"/>
        <v>8853.36</v>
      </c>
      <c r="AC743">
        <f t="shared" si="130"/>
        <v>2</v>
      </c>
      <c r="AD743" t="str">
        <f t="shared" si="123"/>
        <v>South</v>
      </c>
      <c r="AE743" t="str">
        <f t="shared" si="131"/>
        <v>Clean</v>
      </c>
      <c r="AF743" t="str">
        <f t="shared" si="124"/>
        <v>Second Class</v>
      </c>
    </row>
    <row r="744" spans="1:32">
      <c r="A744" t="s">
        <v>5570</v>
      </c>
      <c r="B744" s="4">
        <v>45580</v>
      </c>
      <c r="C744" s="4">
        <v>45587</v>
      </c>
      <c r="D744" t="s">
        <v>5571</v>
      </c>
      <c r="E744" t="s">
        <v>25</v>
      </c>
      <c r="F744" t="s">
        <v>108</v>
      </c>
      <c r="G744" t="s">
        <v>42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  <c r="V744" t="str">
        <f t="shared" si="125"/>
        <v>October</v>
      </c>
      <c r="W744" t="str">
        <f t="shared" si="126"/>
        <v>OK</v>
      </c>
      <c r="X744" t="str">
        <f t="shared" si="127"/>
        <v>OK</v>
      </c>
      <c r="Y744">
        <f t="shared" si="121"/>
        <v>0</v>
      </c>
      <c r="Z744">
        <f t="shared" si="122"/>
        <v>1</v>
      </c>
      <c r="AA744">
        <f t="shared" si="128"/>
        <v>3130.4199999999992</v>
      </c>
      <c r="AB744">
        <f t="shared" si="129"/>
        <v>9043.7999999999993</v>
      </c>
      <c r="AC744">
        <f t="shared" si="130"/>
        <v>7</v>
      </c>
      <c r="AD744" t="str">
        <f t="shared" si="123"/>
        <v>East</v>
      </c>
      <c r="AE744" t="str">
        <f t="shared" si="131"/>
        <v>Clean</v>
      </c>
      <c r="AF744" t="str">
        <f t="shared" si="124"/>
        <v>Standard Class</v>
      </c>
    </row>
    <row r="745" spans="1:32">
      <c r="A745" t="s">
        <v>5572</v>
      </c>
      <c r="B745" s="4">
        <v>45993</v>
      </c>
      <c r="C745" s="4">
        <v>45702</v>
      </c>
      <c r="D745" t="s">
        <v>5573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  <c r="V745" t="str">
        <f t="shared" si="125"/>
        <v>February</v>
      </c>
      <c r="W745" s="5" t="str">
        <f t="shared" si="126"/>
        <v>Invalid</v>
      </c>
      <c r="X745" t="str">
        <f t="shared" si="127"/>
        <v>OK</v>
      </c>
      <c r="Y745">
        <f t="shared" si="121"/>
        <v>0.25</v>
      </c>
      <c r="Z745">
        <f t="shared" si="122"/>
        <v>1</v>
      </c>
      <c r="AA745">
        <f t="shared" si="128"/>
        <v>475.65999999999963</v>
      </c>
      <c r="AB745">
        <f t="shared" si="129"/>
        <v>2211.2999999999997</v>
      </c>
      <c r="AC745" s="5">
        <f t="shared" si="130"/>
        <v>-291</v>
      </c>
      <c r="AD745" t="str">
        <f t="shared" si="123"/>
        <v>North</v>
      </c>
      <c r="AE745" t="str">
        <f t="shared" si="131"/>
        <v>Invalid</v>
      </c>
      <c r="AF745" t="str">
        <f t="shared" si="124"/>
        <v>Standard Class</v>
      </c>
    </row>
    <row r="746" spans="1:32">
      <c r="A746" t="s">
        <v>5574</v>
      </c>
      <c r="B746" s="4">
        <v>45886</v>
      </c>
      <c r="C746" s="4">
        <v>45889</v>
      </c>
      <c r="D746" t="s">
        <v>5575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  <c r="V746" t="str">
        <f t="shared" si="125"/>
        <v>August</v>
      </c>
      <c r="W746" t="str">
        <f t="shared" si="126"/>
        <v>OK</v>
      </c>
      <c r="X746" t="str">
        <f t="shared" si="127"/>
        <v>OK</v>
      </c>
      <c r="Y746">
        <f t="shared" si="121"/>
        <v>0.1</v>
      </c>
      <c r="Z746">
        <f t="shared" si="122"/>
        <v>1</v>
      </c>
      <c r="AA746">
        <f t="shared" si="128"/>
        <v>1898.4349999999995</v>
      </c>
      <c r="AB746">
        <f t="shared" si="129"/>
        <v>12158.504999999999</v>
      </c>
      <c r="AC746">
        <f t="shared" si="130"/>
        <v>3</v>
      </c>
      <c r="AD746" t="str">
        <f t="shared" si="123"/>
        <v>North</v>
      </c>
      <c r="AE746" t="str">
        <f t="shared" si="131"/>
        <v>Clean</v>
      </c>
      <c r="AF746" t="str">
        <f t="shared" si="124"/>
        <v>First Class</v>
      </c>
    </row>
    <row r="747" spans="1:32">
      <c r="A747" t="s">
        <v>5576</v>
      </c>
      <c r="B747" s="4">
        <v>45589</v>
      </c>
      <c r="C747" s="4">
        <v>45593</v>
      </c>
      <c r="D747" t="s">
        <v>5577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  <c r="V747" t="str">
        <f t="shared" si="125"/>
        <v>October</v>
      </c>
      <c r="W747" t="str">
        <f t="shared" si="126"/>
        <v>OK</v>
      </c>
      <c r="X747" t="str">
        <f t="shared" si="127"/>
        <v>OK</v>
      </c>
      <c r="Y747">
        <f t="shared" si="121"/>
        <v>0.2</v>
      </c>
      <c r="Z747">
        <f t="shared" si="122"/>
        <v>1</v>
      </c>
      <c r="AA747">
        <f t="shared" si="128"/>
        <v>677.096</v>
      </c>
      <c r="AB747">
        <f t="shared" si="129"/>
        <v>1736.616</v>
      </c>
      <c r="AC747">
        <f t="shared" si="130"/>
        <v>4</v>
      </c>
      <c r="AD747" t="str">
        <f t="shared" si="123"/>
        <v>East</v>
      </c>
      <c r="AE747" t="str">
        <f t="shared" si="131"/>
        <v>Clean</v>
      </c>
      <c r="AF747" t="str">
        <f t="shared" si="124"/>
        <v>Standard Class</v>
      </c>
    </row>
    <row r="748" spans="1:32">
      <c r="A748" t="s">
        <v>5578</v>
      </c>
      <c r="B748" s="4">
        <v>45748</v>
      </c>
      <c r="C748" s="4">
        <v>45667</v>
      </c>
      <c r="D748" t="s">
        <v>5388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  <c r="V748" t="str">
        <f t="shared" si="125"/>
        <v>January</v>
      </c>
      <c r="W748" s="5" t="str">
        <f t="shared" si="126"/>
        <v>Invalid</v>
      </c>
      <c r="X748" t="str">
        <f t="shared" si="127"/>
        <v>OK</v>
      </c>
      <c r="Y748">
        <f t="shared" si="121"/>
        <v>0.2</v>
      </c>
      <c r="Z748">
        <f t="shared" si="122"/>
        <v>1</v>
      </c>
      <c r="AA748">
        <f t="shared" si="128"/>
        <v>2029.8880000000008</v>
      </c>
      <c r="AB748">
        <f t="shared" si="129"/>
        <v>8266.2080000000005</v>
      </c>
      <c r="AC748" s="5">
        <f t="shared" si="130"/>
        <v>-81</v>
      </c>
      <c r="AD748" t="str">
        <f t="shared" si="123"/>
        <v>East</v>
      </c>
      <c r="AE748" t="str">
        <f t="shared" si="131"/>
        <v>Invalid</v>
      </c>
      <c r="AF748" t="str">
        <f t="shared" si="124"/>
        <v>Standard Class</v>
      </c>
    </row>
    <row r="749" spans="1:32">
      <c r="A749" t="s">
        <v>5579</v>
      </c>
      <c r="B749" s="4">
        <v>45296</v>
      </c>
      <c r="C749" s="4">
        <v>45419</v>
      </c>
      <c r="D749" t="s">
        <v>5580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  <c r="V749" t="str">
        <f t="shared" si="125"/>
        <v>May</v>
      </c>
      <c r="W749" t="str">
        <f t="shared" si="126"/>
        <v>OK</v>
      </c>
      <c r="X749" t="str">
        <f t="shared" si="127"/>
        <v>OK</v>
      </c>
      <c r="Y749">
        <f t="shared" si="121"/>
        <v>0.15</v>
      </c>
      <c r="Z749">
        <f t="shared" si="122"/>
        <v>1</v>
      </c>
      <c r="AA749">
        <f t="shared" si="128"/>
        <v>4445.0640000000003</v>
      </c>
      <c r="AB749">
        <f t="shared" si="129"/>
        <v>10022.044</v>
      </c>
      <c r="AC749">
        <f t="shared" si="130"/>
        <v>123</v>
      </c>
      <c r="AD749" t="str">
        <f t="shared" si="123"/>
        <v>East</v>
      </c>
      <c r="AE749" t="str">
        <f t="shared" si="131"/>
        <v>Clean</v>
      </c>
      <c r="AF749" t="str">
        <f t="shared" si="124"/>
        <v>Same Day</v>
      </c>
    </row>
    <row r="750" spans="1:32">
      <c r="A750" t="s">
        <v>5581</v>
      </c>
      <c r="B750" s="4">
        <v>45442</v>
      </c>
      <c r="C750" s="4">
        <v>45442</v>
      </c>
      <c r="D750" t="s">
        <v>5582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  <c r="V750" t="str">
        <f t="shared" si="125"/>
        <v>May</v>
      </c>
      <c r="W750" s="5" t="str">
        <f t="shared" si="126"/>
        <v>Invalid</v>
      </c>
      <c r="X750" t="str">
        <f t="shared" si="127"/>
        <v>OK</v>
      </c>
      <c r="Y750">
        <f t="shared" si="121"/>
        <v>0.25</v>
      </c>
      <c r="Z750">
        <f t="shared" si="122"/>
        <v>1</v>
      </c>
      <c r="AA750">
        <f t="shared" si="128"/>
        <v>821.19999999999982</v>
      </c>
      <c r="AB750">
        <f t="shared" si="129"/>
        <v>2886.0299999999997</v>
      </c>
      <c r="AC750">
        <f t="shared" si="130"/>
        <v>0</v>
      </c>
      <c r="AD750" t="str">
        <f t="shared" si="123"/>
        <v>North</v>
      </c>
      <c r="AE750" t="str">
        <f t="shared" si="131"/>
        <v>Clean</v>
      </c>
      <c r="AF750" t="str">
        <f t="shared" si="124"/>
        <v>Second Class</v>
      </c>
    </row>
    <row r="751" spans="1:32">
      <c r="A751" t="s">
        <v>5583</v>
      </c>
      <c r="B751" s="4">
        <v>45372</v>
      </c>
      <c r="C751" s="4">
        <v>45376</v>
      </c>
      <c r="D751" t="s">
        <v>5584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  <c r="V751" t="str">
        <f t="shared" si="125"/>
        <v>March</v>
      </c>
      <c r="W751" t="str">
        <f t="shared" si="126"/>
        <v>OK</v>
      </c>
      <c r="X751" t="str">
        <f t="shared" si="127"/>
        <v>OK</v>
      </c>
      <c r="Y751">
        <f t="shared" si="121"/>
        <v>0.15</v>
      </c>
      <c r="Z751">
        <f t="shared" si="122"/>
        <v>1</v>
      </c>
      <c r="AA751">
        <f t="shared" si="128"/>
        <v>403.40499999999997</v>
      </c>
      <c r="AB751">
        <f t="shared" si="129"/>
        <v>1459.1949999999999</v>
      </c>
      <c r="AC751">
        <f t="shared" si="130"/>
        <v>4</v>
      </c>
      <c r="AD751" t="str">
        <f t="shared" si="123"/>
        <v>East</v>
      </c>
      <c r="AE751" t="str">
        <f t="shared" si="131"/>
        <v>Clean</v>
      </c>
      <c r="AF751" t="str">
        <f t="shared" si="124"/>
        <v>Standard Class</v>
      </c>
    </row>
    <row r="752" spans="1:32">
      <c r="A752" t="s">
        <v>5585</v>
      </c>
      <c r="B752" s="4">
        <v>45694</v>
      </c>
      <c r="C752" s="4">
        <v>45810</v>
      </c>
      <c r="D752" t="s">
        <v>5586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  <c r="V752" t="str">
        <f t="shared" si="125"/>
        <v>June</v>
      </c>
      <c r="W752" t="str">
        <f t="shared" si="126"/>
        <v>OK</v>
      </c>
      <c r="X752" t="str">
        <f t="shared" si="127"/>
        <v>OK</v>
      </c>
      <c r="Y752">
        <f t="shared" si="121"/>
        <v>0.15</v>
      </c>
      <c r="Z752">
        <f t="shared" si="122"/>
        <v>1</v>
      </c>
      <c r="AA752">
        <f t="shared" si="128"/>
        <v>3971.8039999999964</v>
      </c>
      <c r="AB752">
        <f t="shared" si="129"/>
        <v>26696.323999999997</v>
      </c>
      <c r="AC752">
        <f t="shared" si="130"/>
        <v>116</v>
      </c>
      <c r="AD752" t="str">
        <f t="shared" si="123"/>
        <v>South</v>
      </c>
      <c r="AE752" t="str">
        <f t="shared" si="131"/>
        <v>Clean</v>
      </c>
      <c r="AF752" t="str">
        <f t="shared" si="124"/>
        <v>First Class</v>
      </c>
    </row>
    <row r="753" spans="1:32">
      <c r="A753" t="s">
        <v>5587</v>
      </c>
      <c r="B753" s="4">
        <v>45856</v>
      </c>
      <c r="C753" s="4">
        <v>45857</v>
      </c>
      <c r="D753" t="s">
        <v>5588</v>
      </c>
      <c r="E753" t="s">
        <v>142</v>
      </c>
      <c r="F753" t="s">
        <v>115</v>
      </c>
      <c r="G753" t="s">
        <v>4187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M753" t="s">
        <v>4187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  <c r="V753" t="str">
        <f t="shared" si="125"/>
        <v>July</v>
      </c>
      <c r="W753" t="str">
        <f t="shared" si="126"/>
        <v>OK</v>
      </c>
      <c r="X753" t="str">
        <f t="shared" si="127"/>
        <v>OK</v>
      </c>
      <c r="Y753">
        <f t="shared" si="121"/>
        <v>0.05</v>
      </c>
      <c r="Z753">
        <f t="shared" si="122"/>
        <v>1</v>
      </c>
      <c r="AA753">
        <f t="shared" si="128"/>
        <v>1507.6624999999985</v>
      </c>
      <c r="AB753">
        <f t="shared" si="129"/>
        <v>8445.2624999999989</v>
      </c>
      <c r="AC753">
        <f t="shared" si="130"/>
        <v>1</v>
      </c>
      <c r="AD753" s="5" t="str">
        <f t="shared" si="123"/>
        <v>Unknown</v>
      </c>
      <c r="AE753" t="str">
        <f t="shared" si="131"/>
        <v>Clean</v>
      </c>
      <c r="AF753" s="5" t="str">
        <f t="shared" si="124"/>
        <v>Unknown</v>
      </c>
    </row>
    <row r="754" spans="1:32">
      <c r="A754" t="s">
        <v>5589</v>
      </c>
      <c r="B754" s="4">
        <v>45375</v>
      </c>
      <c r="C754" s="4">
        <v>45378</v>
      </c>
      <c r="D754" t="s">
        <v>5590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  <c r="V754" t="str">
        <f t="shared" si="125"/>
        <v>March</v>
      </c>
      <c r="W754" t="str">
        <f t="shared" si="126"/>
        <v>OK</v>
      </c>
      <c r="X754" t="str">
        <f t="shared" si="127"/>
        <v>OK</v>
      </c>
      <c r="Y754">
        <f t="shared" si="121"/>
        <v>0.05</v>
      </c>
      <c r="Z754">
        <f t="shared" si="122"/>
        <v>1</v>
      </c>
      <c r="AA754">
        <f t="shared" si="128"/>
        <v>3337.5049999999974</v>
      </c>
      <c r="AB754">
        <f t="shared" si="129"/>
        <v>11709.794999999998</v>
      </c>
      <c r="AC754">
        <f t="shared" si="130"/>
        <v>3</v>
      </c>
      <c r="AD754" t="str">
        <f t="shared" si="123"/>
        <v>West</v>
      </c>
      <c r="AE754" t="str">
        <f t="shared" si="131"/>
        <v>Clean</v>
      </c>
      <c r="AF754" t="str">
        <f t="shared" si="124"/>
        <v>First Class</v>
      </c>
    </row>
    <row r="755" spans="1:32">
      <c r="A755" t="s">
        <v>5591</v>
      </c>
      <c r="B755" s="4">
        <v>45604</v>
      </c>
      <c r="C755" s="4">
        <v>45514</v>
      </c>
      <c r="D755" t="s">
        <v>5592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  <c r="V755" t="str">
        <f t="shared" si="125"/>
        <v>August</v>
      </c>
      <c r="W755" s="5" t="str">
        <f t="shared" si="126"/>
        <v>Invalid</v>
      </c>
      <c r="X755" t="str">
        <f t="shared" si="127"/>
        <v>OK</v>
      </c>
      <c r="Y755">
        <f t="shared" si="121"/>
        <v>0.15</v>
      </c>
      <c r="Z755">
        <f t="shared" si="122"/>
        <v>1</v>
      </c>
      <c r="AA755">
        <f t="shared" si="128"/>
        <v>745.43099999999959</v>
      </c>
      <c r="AB755">
        <f t="shared" si="129"/>
        <v>2593.9109999999996</v>
      </c>
      <c r="AC755" s="5">
        <f t="shared" si="130"/>
        <v>-90</v>
      </c>
      <c r="AD755" t="str">
        <f t="shared" si="123"/>
        <v>North</v>
      </c>
      <c r="AE755" t="str">
        <f t="shared" si="131"/>
        <v>Invalid</v>
      </c>
      <c r="AF755" t="str">
        <f t="shared" si="124"/>
        <v>Second Class</v>
      </c>
    </row>
    <row r="756" spans="1:32">
      <c r="A756" t="s">
        <v>5593</v>
      </c>
      <c r="B756" s="4">
        <v>45753</v>
      </c>
      <c r="C756" s="4">
        <v>45753</v>
      </c>
      <c r="D756" t="s">
        <v>5594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  <c r="V756" t="str">
        <f t="shared" si="125"/>
        <v>April</v>
      </c>
      <c r="W756" s="5" t="str">
        <f t="shared" si="126"/>
        <v>Invalid</v>
      </c>
      <c r="X756" t="str">
        <f t="shared" si="127"/>
        <v>OK</v>
      </c>
      <c r="Y756">
        <f t="shared" si="121"/>
        <v>0.25</v>
      </c>
      <c r="Z756">
        <f t="shared" si="122"/>
        <v>1</v>
      </c>
      <c r="AA756">
        <f t="shared" si="128"/>
        <v>466.44999999999982</v>
      </c>
      <c r="AB756">
        <f t="shared" si="129"/>
        <v>2674.02</v>
      </c>
      <c r="AC756">
        <f t="shared" si="130"/>
        <v>0</v>
      </c>
      <c r="AD756" t="str">
        <f t="shared" si="123"/>
        <v>South</v>
      </c>
      <c r="AE756" t="str">
        <f t="shared" si="131"/>
        <v>Clean</v>
      </c>
      <c r="AF756" t="str">
        <f t="shared" si="124"/>
        <v>Standard Class</v>
      </c>
    </row>
    <row r="757" spans="1:32">
      <c r="A757" t="s">
        <v>5595</v>
      </c>
      <c r="B757" s="4">
        <v>45858</v>
      </c>
      <c r="C757" s="4">
        <v>45862</v>
      </c>
      <c r="D757" t="s">
        <v>5596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  <c r="V757" t="str">
        <f t="shared" si="125"/>
        <v>July</v>
      </c>
      <c r="W757" t="str">
        <f t="shared" si="126"/>
        <v>OK</v>
      </c>
      <c r="X757" t="str">
        <f t="shared" si="127"/>
        <v>OK</v>
      </c>
      <c r="Y757">
        <f t="shared" si="121"/>
        <v>0.2</v>
      </c>
      <c r="Z757">
        <f t="shared" si="122"/>
        <v>1</v>
      </c>
      <c r="AA757">
        <f t="shared" si="128"/>
        <v>1931.9799999999996</v>
      </c>
      <c r="AB757">
        <f t="shared" si="129"/>
        <v>9926.9599999999991</v>
      </c>
      <c r="AC757">
        <f t="shared" si="130"/>
        <v>4</v>
      </c>
      <c r="AD757" t="str">
        <f t="shared" si="123"/>
        <v>West</v>
      </c>
      <c r="AE757" t="str">
        <f t="shared" si="131"/>
        <v>Clean</v>
      </c>
      <c r="AF757" t="str">
        <f t="shared" si="124"/>
        <v>Second Class</v>
      </c>
    </row>
    <row r="758" spans="1:32">
      <c r="A758" t="s">
        <v>5597</v>
      </c>
      <c r="B758" s="4">
        <v>45592</v>
      </c>
      <c r="C758" s="4">
        <v>45302</v>
      </c>
      <c r="D758" t="s">
        <v>5598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  <c r="V758" t="str">
        <f t="shared" si="125"/>
        <v>January</v>
      </c>
      <c r="W758" s="5" t="str">
        <f t="shared" si="126"/>
        <v>Invalid</v>
      </c>
      <c r="X758" t="str">
        <f t="shared" si="127"/>
        <v>OK</v>
      </c>
      <c r="Y758">
        <f t="shared" si="121"/>
        <v>0.2</v>
      </c>
      <c r="Z758">
        <f t="shared" si="122"/>
        <v>1</v>
      </c>
      <c r="AA758">
        <f t="shared" si="128"/>
        <v>1734.2700000000004</v>
      </c>
      <c r="AB758">
        <f t="shared" si="129"/>
        <v>12191.76</v>
      </c>
      <c r="AC758" s="5">
        <f t="shared" si="130"/>
        <v>-290</v>
      </c>
      <c r="AD758" t="str">
        <f t="shared" si="123"/>
        <v>North</v>
      </c>
      <c r="AE758" t="str">
        <f t="shared" si="131"/>
        <v>Invalid</v>
      </c>
      <c r="AF758" t="str">
        <f t="shared" si="124"/>
        <v>Same Day</v>
      </c>
    </row>
    <row r="759" spans="1:32">
      <c r="A759" t="s">
        <v>5599</v>
      </c>
      <c r="B759" s="4">
        <v>45665</v>
      </c>
      <c r="C759" s="4">
        <v>45872</v>
      </c>
      <c r="D759" t="s">
        <v>5600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  <c r="V759" t="str">
        <f t="shared" si="125"/>
        <v>August</v>
      </c>
      <c r="W759" t="str">
        <f t="shared" si="126"/>
        <v>OK</v>
      </c>
      <c r="X759" t="str">
        <f t="shared" si="127"/>
        <v>OK</v>
      </c>
      <c r="Y759">
        <f t="shared" si="121"/>
        <v>0.25</v>
      </c>
      <c r="Z759">
        <f t="shared" si="122"/>
        <v>1</v>
      </c>
      <c r="AA759">
        <f t="shared" si="128"/>
        <v>1899.4250000000002</v>
      </c>
      <c r="AB759">
        <f t="shared" si="129"/>
        <v>4285.7550000000001</v>
      </c>
      <c r="AC759">
        <f t="shared" si="130"/>
        <v>207</v>
      </c>
      <c r="AD759" t="str">
        <f t="shared" si="123"/>
        <v>South</v>
      </c>
      <c r="AE759" t="str">
        <f t="shared" si="131"/>
        <v>Clean</v>
      </c>
      <c r="AF759" t="str">
        <f t="shared" si="124"/>
        <v>Standard Class</v>
      </c>
    </row>
    <row r="760" spans="1:32">
      <c r="A760" t="s">
        <v>5601</v>
      </c>
      <c r="B760" s="4">
        <v>45327</v>
      </c>
      <c r="C760" s="4">
        <v>45422</v>
      </c>
      <c r="D760" t="s">
        <v>5602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  <c r="V760" t="str">
        <f t="shared" si="125"/>
        <v>May</v>
      </c>
      <c r="W760" t="str">
        <f t="shared" si="126"/>
        <v>OK</v>
      </c>
      <c r="X760" t="str">
        <f t="shared" si="127"/>
        <v>OK</v>
      </c>
      <c r="Y760">
        <f t="shared" si="121"/>
        <v>0</v>
      </c>
      <c r="Z760">
        <f t="shared" si="122"/>
        <v>1</v>
      </c>
      <c r="AA760">
        <f t="shared" si="128"/>
        <v>754.27999999999975</v>
      </c>
      <c r="AB760">
        <f t="shared" si="129"/>
        <v>4166.91</v>
      </c>
      <c r="AC760">
        <f t="shared" si="130"/>
        <v>95</v>
      </c>
      <c r="AD760" t="str">
        <f t="shared" si="123"/>
        <v>South</v>
      </c>
      <c r="AE760" t="str">
        <f t="shared" si="131"/>
        <v>Clean</v>
      </c>
      <c r="AF760" t="str">
        <f t="shared" si="124"/>
        <v>Standard Class</v>
      </c>
    </row>
    <row r="761" spans="1:32">
      <c r="A761" t="s">
        <v>5603</v>
      </c>
      <c r="B761" s="4">
        <v>45492</v>
      </c>
      <c r="C761" s="4">
        <v>45499</v>
      </c>
      <c r="D761" t="s">
        <v>5604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  <c r="V761" t="str">
        <f t="shared" si="125"/>
        <v>July</v>
      </c>
      <c r="W761" t="str">
        <f t="shared" si="126"/>
        <v>OK</v>
      </c>
      <c r="X761" t="str">
        <f t="shared" si="127"/>
        <v>OK</v>
      </c>
      <c r="Y761">
        <f t="shared" si="121"/>
        <v>0.25</v>
      </c>
      <c r="Z761">
        <f t="shared" si="122"/>
        <v>1</v>
      </c>
      <c r="AA761">
        <f t="shared" si="128"/>
        <v>5509.0775000000031</v>
      </c>
      <c r="AB761">
        <f t="shared" si="129"/>
        <v>14947.537500000002</v>
      </c>
      <c r="AC761">
        <f t="shared" si="130"/>
        <v>7</v>
      </c>
      <c r="AD761" t="str">
        <f t="shared" si="123"/>
        <v>South</v>
      </c>
      <c r="AE761" t="str">
        <f t="shared" si="131"/>
        <v>Clean</v>
      </c>
      <c r="AF761" t="str">
        <f t="shared" si="124"/>
        <v>Second Class</v>
      </c>
    </row>
    <row r="762" spans="1:32">
      <c r="A762" t="s">
        <v>5605</v>
      </c>
      <c r="B762" s="4">
        <v>45532</v>
      </c>
      <c r="C762" s="4">
        <v>45537</v>
      </c>
      <c r="D762" t="s">
        <v>5606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  <c r="V762" t="str">
        <f t="shared" si="125"/>
        <v>September</v>
      </c>
      <c r="W762" t="str">
        <f t="shared" si="126"/>
        <v>OK</v>
      </c>
      <c r="X762" t="str">
        <f t="shared" si="127"/>
        <v>OK</v>
      </c>
      <c r="Y762">
        <f t="shared" si="121"/>
        <v>0</v>
      </c>
      <c r="Z762">
        <f t="shared" si="122"/>
        <v>1</v>
      </c>
      <c r="AA762">
        <f t="shared" si="128"/>
        <v>5861.4900000000007</v>
      </c>
      <c r="AB762">
        <f t="shared" si="129"/>
        <v>13462.12</v>
      </c>
      <c r="AC762">
        <f t="shared" si="130"/>
        <v>5</v>
      </c>
      <c r="AD762" t="str">
        <f t="shared" si="123"/>
        <v>East</v>
      </c>
      <c r="AE762" t="str">
        <f t="shared" si="131"/>
        <v>Clean</v>
      </c>
      <c r="AF762" t="str">
        <f t="shared" si="124"/>
        <v>Second Class</v>
      </c>
    </row>
    <row r="763" spans="1:32">
      <c r="A763" t="s">
        <v>5607</v>
      </c>
      <c r="B763" s="4">
        <v>45896</v>
      </c>
      <c r="C763" s="4">
        <v>45900</v>
      </c>
      <c r="D763" t="s">
        <v>5608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  <c r="V763" t="str">
        <f t="shared" si="125"/>
        <v>August</v>
      </c>
      <c r="W763" t="str">
        <f t="shared" si="126"/>
        <v>OK</v>
      </c>
      <c r="X763" t="str">
        <f t="shared" si="127"/>
        <v>OK</v>
      </c>
      <c r="Y763">
        <f t="shared" si="121"/>
        <v>0</v>
      </c>
      <c r="Z763">
        <f t="shared" si="122"/>
        <v>1</v>
      </c>
      <c r="AA763">
        <f t="shared" si="128"/>
        <v>2456.75</v>
      </c>
      <c r="AB763">
        <f t="shared" si="129"/>
        <v>7467.36</v>
      </c>
      <c r="AC763">
        <f t="shared" si="130"/>
        <v>4</v>
      </c>
      <c r="AD763" t="str">
        <f t="shared" si="123"/>
        <v>South</v>
      </c>
      <c r="AE763" t="str">
        <f t="shared" si="131"/>
        <v>Clean</v>
      </c>
      <c r="AF763" t="str">
        <f t="shared" si="124"/>
        <v>First Class</v>
      </c>
    </row>
    <row r="764" spans="1:32">
      <c r="A764" t="s">
        <v>5609</v>
      </c>
      <c r="B764" s="4">
        <v>45292</v>
      </c>
      <c r="C764" s="4">
        <v>45296</v>
      </c>
      <c r="D764" t="s">
        <v>5610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  <c r="V764" t="str">
        <f t="shared" si="125"/>
        <v>January</v>
      </c>
      <c r="W764" t="str">
        <f t="shared" si="126"/>
        <v>OK</v>
      </c>
      <c r="X764" t="str">
        <f t="shared" si="127"/>
        <v>OK</v>
      </c>
      <c r="Y764">
        <f t="shared" si="121"/>
        <v>0.2</v>
      </c>
      <c r="Z764">
        <f t="shared" si="122"/>
        <v>1</v>
      </c>
      <c r="AA764">
        <f t="shared" si="128"/>
        <v>1135.152000000001</v>
      </c>
      <c r="AB764">
        <f t="shared" si="129"/>
        <v>5910.5920000000006</v>
      </c>
      <c r="AC764">
        <f t="shared" si="130"/>
        <v>4</v>
      </c>
      <c r="AD764" t="str">
        <f t="shared" si="123"/>
        <v>West</v>
      </c>
      <c r="AE764" t="str">
        <f t="shared" si="131"/>
        <v>Clean</v>
      </c>
      <c r="AF764" t="str">
        <f t="shared" si="124"/>
        <v>Second Class</v>
      </c>
    </row>
    <row r="765" spans="1:32">
      <c r="A765" t="s">
        <v>5611</v>
      </c>
      <c r="B765" s="4">
        <v>45892</v>
      </c>
      <c r="C765" s="4">
        <v>45894</v>
      </c>
      <c r="D765" t="s">
        <v>5612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  <c r="V765" t="str">
        <f t="shared" si="125"/>
        <v>August</v>
      </c>
      <c r="W765" t="str">
        <f t="shared" si="126"/>
        <v>OK</v>
      </c>
      <c r="X765" t="str">
        <f t="shared" si="127"/>
        <v>OK</v>
      </c>
      <c r="Y765">
        <f t="shared" si="121"/>
        <v>0</v>
      </c>
      <c r="Z765">
        <f t="shared" si="122"/>
        <v>1</v>
      </c>
      <c r="AA765">
        <f t="shared" si="128"/>
        <v>4373.34</v>
      </c>
      <c r="AB765">
        <f t="shared" si="129"/>
        <v>16454.88</v>
      </c>
      <c r="AC765">
        <f t="shared" si="130"/>
        <v>2</v>
      </c>
      <c r="AD765" t="str">
        <f t="shared" si="123"/>
        <v>North</v>
      </c>
      <c r="AE765" t="str">
        <f t="shared" si="131"/>
        <v>Clean</v>
      </c>
      <c r="AF765" t="str">
        <f t="shared" si="124"/>
        <v>Same Day</v>
      </c>
    </row>
    <row r="766" spans="1:32">
      <c r="A766" t="s">
        <v>5613</v>
      </c>
      <c r="B766" s="4">
        <v>45760</v>
      </c>
      <c r="C766" s="4">
        <v>45760</v>
      </c>
      <c r="D766" t="s">
        <v>4633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  <c r="V766" t="str">
        <f t="shared" si="125"/>
        <v>April</v>
      </c>
      <c r="W766" s="5" t="str">
        <f t="shared" si="126"/>
        <v>Invalid</v>
      </c>
      <c r="X766" t="str">
        <f t="shared" si="127"/>
        <v>OK</v>
      </c>
      <c r="Y766">
        <f t="shared" si="121"/>
        <v>0.05</v>
      </c>
      <c r="Z766">
        <f t="shared" si="122"/>
        <v>1</v>
      </c>
      <c r="AA766">
        <f t="shared" si="128"/>
        <v>3552.9699999999975</v>
      </c>
      <c r="AB766">
        <f t="shared" si="129"/>
        <v>25159.8</v>
      </c>
      <c r="AC766">
        <f t="shared" si="130"/>
        <v>0</v>
      </c>
      <c r="AD766" t="str">
        <f t="shared" si="123"/>
        <v>South</v>
      </c>
      <c r="AE766" t="str">
        <f t="shared" si="131"/>
        <v>Clean</v>
      </c>
      <c r="AF766" t="str">
        <f t="shared" si="124"/>
        <v>First Class</v>
      </c>
    </row>
    <row r="767" spans="1:32">
      <c r="A767" t="s">
        <v>5614</v>
      </c>
      <c r="B767" s="4">
        <v>45837</v>
      </c>
      <c r="C767" s="4">
        <v>45841</v>
      </c>
      <c r="D767" t="s">
        <v>5615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  <c r="V767" t="str">
        <f t="shared" si="125"/>
        <v>July</v>
      </c>
      <c r="W767" t="str">
        <f t="shared" si="126"/>
        <v>OK</v>
      </c>
      <c r="X767" t="str">
        <f t="shared" si="127"/>
        <v>OK</v>
      </c>
      <c r="Y767">
        <f t="shared" si="121"/>
        <v>0</v>
      </c>
      <c r="Z767">
        <f t="shared" si="122"/>
        <v>1</v>
      </c>
      <c r="AA767">
        <f t="shared" si="128"/>
        <v>609.55000000000018</v>
      </c>
      <c r="AB767">
        <f t="shared" si="129"/>
        <v>1824.42</v>
      </c>
      <c r="AC767">
        <f t="shared" si="130"/>
        <v>4</v>
      </c>
      <c r="AD767" t="str">
        <f t="shared" si="123"/>
        <v>East</v>
      </c>
      <c r="AE767" t="str">
        <f t="shared" si="131"/>
        <v>Clean</v>
      </c>
      <c r="AF767" t="str">
        <f t="shared" si="124"/>
        <v>First Class</v>
      </c>
    </row>
    <row r="768" spans="1:32">
      <c r="A768" t="s">
        <v>5616</v>
      </c>
      <c r="B768" s="4">
        <v>45552</v>
      </c>
      <c r="C768" s="4">
        <v>45559</v>
      </c>
      <c r="D768" t="s">
        <v>5617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  <c r="V768" t="str">
        <f t="shared" si="125"/>
        <v>September</v>
      </c>
      <c r="W768" t="str">
        <f t="shared" si="126"/>
        <v>OK</v>
      </c>
      <c r="X768" t="str">
        <f t="shared" si="127"/>
        <v>OK</v>
      </c>
      <c r="Y768">
        <f t="shared" si="121"/>
        <v>0.2</v>
      </c>
      <c r="Z768">
        <f t="shared" si="122"/>
        <v>1</v>
      </c>
      <c r="AA768">
        <f t="shared" si="128"/>
        <v>7421.5820000000022</v>
      </c>
      <c r="AB768">
        <f t="shared" si="129"/>
        <v>16617.312000000002</v>
      </c>
      <c r="AC768">
        <f t="shared" si="130"/>
        <v>7</v>
      </c>
      <c r="AD768" t="str">
        <f t="shared" si="123"/>
        <v>West</v>
      </c>
      <c r="AE768" t="str">
        <f t="shared" si="131"/>
        <v>Clean</v>
      </c>
      <c r="AF768" t="str">
        <f t="shared" si="124"/>
        <v>Second Class</v>
      </c>
    </row>
    <row r="769" spans="1:32">
      <c r="A769" t="s">
        <v>5618</v>
      </c>
      <c r="B769" s="4">
        <v>45356</v>
      </c>
      <c r="C769" s="4">
        <v>45448</v>
      </c>
      <c r="D769" t="s">
        <v>5619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30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  <c r="V769" t="str">
        <f t="shared" si="125"/>
        <v>June</v>
      </c>
      <c r="W769" t="str">
        <f t="shared" si="126"/>
        <v>OK</v>
      </c>
      <c r="X769" t="str">
        <f t="shared" si="127"/>
        <v>OK</v>
      </c>
      <c r="Y769">
        <f t="shared" si="121"/>
        <v>0.25</v>
      </c>
      <c r="Z769">
        <f t="shared" si="122"/>
        <v>1</v>
      </c>
      <c r="AA769">
        <f t="shared" si="128"/>
        <v>350.34499999999991</v>
      </c>
      <c r="AB769">
        <f t="shared" si="129"/>
        <v>933.43499999999995</v>
      </c>
      <c r="AC769">
        <f t="shared" si="130"/>
        <v>92</v>
      </c>
      <c r="AD769" t="str">
        <f t="shared" si="123"/>
        <v>North</v>
      </c>
      <c r="AE769" t="str">
        <f t="shared" si="131"/>
        <v>Clean</v>
      </c>
      <c r="AF769" t="str">
        <f t="shared" si="124"/>
        <v>Standard Class</v>
      </c>
    </row>
    <row r="770" spans="1:32">
      <c r="A770" t="s">
        <v>5620</v>
      </c>
      <c r="B770" s="4">
        <v>45692</v>
      </c>
      <c r="C770" s="4">
        <v>45751</v>
      </c>
      <c r="D770" t="s">
        <v>5621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  <c r="V770" t="str">
        <f t="shared" si="125"/>
        <v>April</v>
      </c>
      <c r="W770" t="str">
        <f t="shared" si="126"/>
        <v>OK</v>
      </c>
      <c r="X770" t="str">
        <f t="shared" si="127"/>
        <v>OK</v>
      </c>
      <c r="Y770">
        <f t="shared" ref="Y770:Y833" si="132">IF(P770 ="",0,P770)</f>
        <v>0.1</v>
      </c>
      <c r="Z770">
        <f t="shared" ref="Z770:Z833" si="133">COUNTIF(A:A,A770)</f>
        <v>1</v>
      </c>
      <c r="AA770">
        <f t="shared" si="128"/>
        <v>3387.24</v>
      </c>
      <c r="AB770">
        <f t="shared" si="129"/>
        <v>14554.08</v>
      </c>
      <c r="AC770">
        <f t="shared" si="130"/>
        <v>59</v>
      </c>
      <c r="AD770" t="str">
        <f t="shared" ref="AD770:AD833" si="134">IF(G770="","Unknown",G770)</f>
        <v>East</v>
      </c>
      <c r="AE770" t="str">
        <f t="shared" si="131"/>
        <v>Clean</v>
      </c>
      <c r="AF770" t="str">
        <f t="shared" ref="AF770:AF833" si="135">IF(M770="","Unknown",M770)</f>
        <v>Same Day</v>
      </c>
    </row>
    <row r="771" spans="1:32">
      <c r="A771" t="s">
        <v>5622</v>
      </c>
      <c r="B771" s="4">
        <v>45601</v>
      </c>
      <c r="C771" s="4">
        <v>45425</v>
      </c>
      <c r="D771" t="s">
        <v>5623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  <c r="V771" t="str">
        <f t="shared" ref="V771:V834" si="136">TEXT(C771,"MMMM")</f>
        <v>May</v>
      </c>
      <c r="W771" s="5" t="str">
        <f t="shared" ref="W771:W834" si="137">IF(B771&lt;C771,"OK","Invalid")</f>
        <v>Invalid</v>
      </c>
      <c r="X771" t="str">
        <f t="shared" ref="X771:X834" si="138">IF(P771&lt;0,"Negative Discount","OK")</f>
        <v>OK</v>
      </c>
      <c r="Y771">
        <f t="shared" si="132"/>
        <v>0.25</v>
      </c>
      <c r="Z771">
        <f t="shared" si="133"/>
        <v>1</v>
      </c>
      <c r="AA771">
        <f t="shared" ref="AA771:AA834" si="139">AB771-R771</f>
        <v>3057.0275000000001</v>
      </c>
      <c r="AB771">
        <f t="shared" ref="AB771:AB834" si="140">N771*O771*(1-Y771)</f>
        <v>8128.6875</v>
      </c>
      <c r="AC771" s="5">
        <f t="shared" ref="AC771:AC834" si="141">C771-B771</f>
        <v>-176</v>
      </c>
      <c r="AD771" t="str">
        <f t="shared" si="134"/>
        <v>West</v>
      </c>
      <c r="AE771" t="str">
        <f t="shared" ref="AE771:AE834" si="142">IF(OR(P771&lt;0,P771&gt;1,C771&lt;B771),"Invalid",IF(OR(G771="Unknown",M771="Unknown"),"Warning","Clean"))</f>
        <v>Invalid</v>
      </c>
      <c r="AF771" t="str">
        <f t="shared" si="135"/>
        <v>Same Day</v>
      </c>
    </row>
    <row r="772" spans="1:32">
      <c r="A772" t="s">
        <v>5624</v>
      </c>
      <c r="B772" s="4">
        <v>45337</v>
      </c>
      <c r="C772" s="4">
        <v>45339</v>
      </c>
      <c r="D772" t="s">
        <v>5625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  <c r="V772" t="str">
        <f t="shared" si="136"/>
        <v>February</v>
      </c>
      <c r="W772" t="str">
        <f t="shared" si="137"/>
        <v>OK</v>
      </c>
      <c r="X772" t="str">
        <f t="shared" si="138"/>
        <v>OK</v>
      </c>
      <c r="Y772">
        <f t="shared" si="132"/>
        <v>0</v>
      </c>
      <c r="Z772">
        <f t="shared" si="133"/>
        <v>1</v>
      </c>
      <c r="AA772">
        <f t="shared" si="139"/>
        <v>1075.3800000000001</v>
      </c>
      <c r="AB772">
        <f t="shared" si="140"/>
        <v>3452</v>
      </c>
      <c r="AC772">
        <f t="shared" si="141"/>
        <v>2</v>
      </c>
      <c r="AD772" t="str">
        <f t="shared" si="134"/>
        <v>North</v>
      </c>
      <c r="AE772" t="str">
        <f t="shared" si="142"/>
        <v>Clean</v>
      </c>
      <c r="AF772" t="str">
        <f t="shared" si="135"/>
        <v>First Class</v>
      </c>
    </row>
    <row r="773" spans="1:32">
      <c r="A773" t="s">
        <v>5626</v>
      </c>
      <c r="B773" s="4">
        <v>45633</v>
      </c>
      <c r="C773" s="4">
        <v>45487</v>
      </c>
      <c r="D773" t="s">
        <v>4356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  <c r="V773" t="str">
        <f t="shared" si="136"/>
        <v>July</v>
      </c>
      <c r="W773" s="5" t="str">
        <f t="shared" si="137"/>
        <v>Invalid</v>
      </c>
      <c r="X773" t="str">
        <f t="shared" si="138"/>
        <v>OK</v>
      </c>
      <c r="Y773">
        <f t="shared" si="132"/>
        <v>0</v>
      </c>
      <c r="Z773">
        <f t="shared" si="133"/>
        <v>1</v>
      </c>
      <c r="AA773">
        <f t="shared" si="139"/>
        <v>5004.9499999999989</v>
      </c>
      <c r="AB773">
        <f t="shared" si="140"/>
        <v>8525.64</v>
      </c>
      <c r="AC773" s="5">
        <f t="shared" si="141"/>
        <v>-146</v>
      </c>
      <c r="AD773" t="str">
        <f t="shared" si="134"/>
        <v>North</v>
      </c>
      <c r="AE773" t="str">
        <f t="shared" si="142"/>
        <v>Invalid</v>
      </c>
      <c r="AF773" t="str">
        <f t="shared" si="135"/>
        <v>Second Class</v>
      </c>
    </row>
    <row r="774" spans="1:32">
      <c r="A774" t="s">
        <v>5627</v>
      </c>
      <c r="B774" s="4">
        <v>45853</v>
      </c>
      <c r="C774" s="4">
        <v>45857</v>
      </c>
      <c r="D774" t="s">
        <v>5628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  <c r="V774" t="str">
        <f t="shared" si="136"/>
        <v>July</v>
      </c>
      <c r="W774" t="str">
        <f t="shared" si="137"/>
        <v>OK</v>
      </c>
      <c r="X774" t="str">
        <f t="shared" si="138"/>
        <v>OK</v>
      </c>
      <c r="Y774">
        <f t="shared" si="132"/>
        <v>0.05</v>
      </c>
      <c r="Z774">
        <f t="shared" si="133"/>
        <v>1</v>
      </c>
      <c r="AA774">
        <f t="shared" si="139"/>
        <v>947.76899999999978</v>
      </c>
      <c r="AB774">
        <f t="shared" si="140"/>
        <v>3708.0589999999997</v>
      </c>
      <c r="AC774">
        <f t="shared" si="141"/>
        <v>4</v>
      </c>
      <c r="AD774" t="str">
        <f t="shared" si="134"/>
        <v>South</v>
      </c>
      <c r="AE774" t="str">
        <f t="shared" si="142"/>
        <v>Clean</v>
      </c>
      <c r="AF774" t="str">
        <f t="shared" si="135"/>
        <v>Same Day</v>
      </c>
    </row>
    <row r="775" spans="1:32">
      <c r="A775" t="s">
        <v>5629</v>
      </c>
      <c r="B775" s="4">
        <v>45709</v>
      </c>
      <c r="C775" s="4">
        <v>45709</v>
      </c>
      <c r="D775" t="s">
        <v>5630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M775" t="s">
        <v>4187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  <c r="V775" t="str">
        <f t="shared" si="136"/>
        <v>February</v>
      </c>
      <c r="W775" s="5" t="str">
        <f t="shared" si="137"/>
        <v>Invalid</v>
      </c>
      <c r="X775" t="str">
        <f t="shared" si="138"/>
        <v>OK</v>
      </c>
      <c r="Y775">
        <f t="shared" si="132"/>
        <v>0.2</v>
      </c>
      <c r="Z775">
        <f t="shared" si="133"/>
        <v>1</v>
      </c>
      <c r="AA775">
        <f t="shared" si="139"/>
        <v>3245.3040000000001</v>
      </c>
      <c r="AB775">
        <f t="shared" si="140"/>
        <v>9424.2240000000002</v>
      </c>
      <c r="AC775">
        <f t="shared" si="141"/>
        <v>0</v>
      </c>
      <c r="AD775" t="str">
        <f t="shared" si="134"/>
        <v>West</v>
      </c>
      <c r="AE775" t="str">
        <f t="shared" si="142"/>
        <v>Clean</v>
      </c>
      <c r="AF775" s="5" t="str">
        <f t="shared" si="135"/>
        <v>Unknown</v>
      </c>
    </row>
    <row r="776" spans="1:32">
      <c r="A776" t="s">
        <v>5631</v>
      </c>
      <c r="B776" s="4">
        <v>45876</v>
      </c>
      <c r="C776" s="4">
        <v>45876</v>
      </c>
      <c r="D776" t="s">
        <v>5632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M776" t="s">
        <v>4187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  <c r="V776" t="str">
        <f t="shared" si="136"/>
        <v>August</v>
      </c>
      <c r="W776" s="5" t="str">
        <f t="shared" si="137"/>
        <v>Invalid</v>
      </c>
      <c r="X776" t="str">
        <f t="shared" si="138"/>
        <v>OK</v>
      </c>
      <c r="Y776">
        <f t="shared" si="132"/>
        <v>0.2</v>
      </c>
      <c r="Z776">
        <f t="shared" si="133"/>
        <v>1</v>
      </c>
      <c r="AA776">
        <f t="shared" si="139"/>
        <v>3063.3</v>
      </c>
      <c r="AB776">
        <f t="shared" si="140"/>
        <v>7752.6</v>
      </c>
      <c r="AC776">
        <f t="shared" si="141"/>
        <v>0</v>
      </c>
      <c r="AD776" t="str">
        <f t="shared" si="134"/>
        <v>West</v>
      </c>
      <c r="AE776" t="str">
        <f t="shared" si="142"/>
        <v>Clean</v>
      </c>
      <c r="AF776" s="5" t="str">
        <f t="shared" si="135"/>
        <v>Unknown</v>
      </c>
    </row>
    <row r="777" spans="1:32">
      <c r="A777" t="s">
        <v>5633</v>
      </c>
      <c r="B777" s="4">
        <v>45396</v>
      </c>
      <c r="C777" s="4">
        <v>45404</v>
      </c>
      <c r="D777" t="s">
        <v>5634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  <c r="V777" t="str">
        <f t="shared" si="136"/>
        <v>April</v>
      </c>
      <c r="W777" t="str">
        <f t="shared" si="137"/>
        <v>OK</v>
      </c>
      <c r="X777" t="str">
        <f t="shared" si="138"/>
        <v>OK</v>
      </c>
      <c r="Y777">
        <f t="shared" si="132"/>
        <v>0.25</v>
      </c>
      <c r="Z777">
        <f t="shared" si="133"/>
        <v>1</v>
      </c>
      <c r="AA777">
        <f t="shared" si="139"/>
        <v>9845.8200000000015</v>
      </c>
      <c r="AB777">
        <f t="shared" si="140"/>
        <v>23736.720000000001</v>
      </c>
      <c r="AC777">
        <f t="shared" si="141"/>
        <v>8</v>
      </c>
      <c r="AD777" t="str">
        <f t="shared" si="134"/>
        <v>North</v>
      </c>
      <c r="AE777" t="str">
        <f t="shared" si="142"/>
        <v>Clean</v>
      </c>
      <c r="AF777" t="str">
        <f t="shared" si="135"/>
        <v>Standard Class</v>
      </c>
    </row>
    <row r="778" spans="1:32">
      <c r="A778" t="s">
        <v>5635</v>
      </c>
      <c r="B778" s="4">
        <v>45816</v>
      </c>
      <c r="C778" s="4">
        <v>45821</v>
      </c>
      <c r="D778" t="s">
        <v>5636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  <c r="V778" t="str">
        <f t="shared" si="136"/>
        <v>June</v>
      </c>
      <c r="W778" t="str">
        <f t="shared" si="137"/>
        <v>OK</v>
      </c>
      <c r="X778" t="str">
        <f t="shared" si="138"/>
        <v>OK</v>
      </c>
      <c r="Y778">
        <f t="shared" si="132"/>
        <v>0</v>
      </c>
      <c r="Z778">
        <f t="shared" si="133"/>
        <v>1</v>
      </c>
      <c r="AA778">
        <f t="shared" si="139"/>
        <v>9183.93</v>
      </c>
      <c r="AB778">
        <f t="shared" si="140"/>
        <v>26999.91</v>
      </c>
      <c r="AC778">
        <f t="shared" si="141"/>
        <v>5</v>
      </c>
      <c r="AD778" t="str">
        <f t="shared" si="134"/>
        <v>North</v>
      </c>
      <c r="AE778" t="str">
        <f t="shared" si="142"/>
        <v>Clean</v>
      </c>
      <c r="AF778" t="str">
        <f t="shared" si="135"/>
        <v>Second Class</v>
      </c>
    </row>
    <row r="779" spans="1:32">
      <c r="A779" t="s">
        <v>5637</v>
      </c>
      <c r="B779" s="4">
        <v>45326</v>
      </c>
      <c r="C779" s="4">
        <v>45328</v>
      </c>
      <c r="D779" t="s">
        <v>5638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  <c r="V779" t="str">
        <f t="shared" si="136"/>
        <v>February</v>
      </c>
      <c r="W779" t="str">
        <f t="shared" si="137"/>
        <v>OK</v>
      </c>
      <c r="X779" t="str">
        <f t="shared" si="138"/>
        <v>OK</v>
      </c>
      <c r="Y779">
        <f t="shared" si="132"/>
        <v>0.15</v>
      </c>
      <c r="Z779">
        <f t="shared" si="133"/>
        <v>1</v>
      </c>
      <c r="AA779">
        <f t="shared" si="139"/>
        <v>1534.9960000000001</v>
      </c>
      <c r="AB779">
        <f t="shared" si="140"/>
        <v>5065.116</v>
      </c>
      <c r="AC779">
        <f t="shared" si="141"/>
        <v>2</v>
      </c>
      <c r="AD779" t="str">
        <f t="shared" si="134"/>
        <v>West</v>
      </c>
      <c r="AE779" t="str">
        <f t="shared" si="142"/>
        <v>Clean</v>
      </c>
      <c r="AF779" t="str">
        <f t="shared" si="135"/>
        <v>Second Class</v>
      </c>
    </row>
    <row r="780" spans="1:32">
      <c r="A780" t="s">
        <v>5639</v>
      </c>
      <c r="B780" s="4">
        <v>45497</v>
      </c>
      <c r="C780" s="4">
        <v>45497</v>
      </c>
      <c r="D780" t="s">
        <v>5640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  <c r="V780" t="str">
        <f t="shared" si="136"/>
        <v>July</v>
      </c>
      <c r="W780" s="5" t="str">
        <f t="shared" si="137"/>
        <v>Invalid</v>
      </c>
      <c r="X780" t="str">
        <f t="shared" si="138"/>
        <v>OK</v>
      </c>
      <c r="Y780">
        <f t="shared" si="132"/>
        <v>0</v>
      </c>
      <c r="Z780">
        <f t="shared" si="133"/>
        <v>1</v>
      </c>
      <c r="AA780">
        <f t="shared" si="139"/>
        <v>1034.9500000000007</v>
      </c>
      <c r="AB780">
        <f t="shared" si="140"/>
        <v>6707.52</v>
      </c>
      <c r="AC780">
        <f t="shared" si="141"/>
        <v>0</v>
      </c>
      <c r="AD780" t="str">
        <f t="shared" si="134"/>
        <v>North</v>
      </c>
      <c r="AE780" t="str">
        <f t="shared" si="142"/>
        <v>Clean</v>
      </c>
      <c r="AF780" t="str">
        <f t="shared" si="135"/>
        <v>Second Class</v>
      </c>
    </row>
    <row r="781" spans="1:32">
      <c r="A781" t="s">
        <v>5641</v>
      </c>
      <c r="B781" s="4">
        <v>45306</v>
      </c>
      <c r="C781" s="4">
        <v>45311</v>
      </c>
      <c r="D781" t="s">
        <v>5642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  <c r="V781" t="str">
        <f t="shared" si="136"/>
        <v>January</v>
      </c>
      <c r="W781" t="str">
        <f t="shared" si="137"/>
        <v>OK</v>
      </c>
      <c r="X781" t="str">
        <f t="shared" si="138"/>
        <v>OK</v>
      </c>
      <c r="Y781">
        <f t="shared" si="132"/>
        <v>0.05</v>
      </c>
      <c r="Z781">
        <f t="shared" si="133"/>
        <v>1</v>
      </c>
      <c r="AA781">
        <f t="shared" si="139"/>
        <v>3410.5519999999997</v>
      </c>
      <c r="AB781">
        <f t="shared" si="140"/>
        <v>11983.451999999999</v>
      </c>
      <c r="AC781">
        <f t="shared" si="141"/>
        <v>5</v>
      </c>
      <c r="AD781" t="str">
        <f t="shared" si="134"/>
        <v>South</v>
      </c>
      <c r="AE781" t="str">
        <f t="shared" si="142"/>
        <v>Clean</v>
      </c>
      <c r="AF781" t="str">
        <f t="shared" si="135"/>
        <v>Standard Class</v>
      </c>
    </row>
    <row r="782" spans="1:32">
      <c r="A782" t="s">
        <v>5643</v>
      </c>
      <c r="B782" s="4">
        <v>45390</v>
      </c>
      <c r="C782" s="4">
        <v>45573</v>
      </c>
      <c r="D782" t="s">
        <v>5644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  <c r="V782" t="str">
        <f t="shared" si="136"/>
        <v>October</v>
      </c>
      <c r="W782" t="str">
        <f t="shared" si="137"/>
        <v>OK</v>
      </c>
      <c r="X782" t="str">
        <f t="shared" si="138"/>
        <v>OK</v>
      </c>
      <c r="Y782">
        <f t="shared" si="132"/>
        <v>0.2</v>
      </c>
      <c r="Z782">
        <f t="shared" si="133"/>
        <v>1</v>
      </c>
      <c r="AA782">
        <f t="shared" si="139"/>
        <v>386.41600000000005</v>
      </c>
      <c r="AB782">
        <f t="shared" si="140"/>
        <v>1364.576</v>
      </c>
      <c r="AC782">
        <f t="shared" si="141"/>
        <v>183</v>
      </c>
      <c r="AD782" t="str">
        <f t="shared" si="134"/>
        <v>West</v>
      </c>
      <c r="AE782" t="str">
        <f t="shared" si="142"/>
        <v>Clean</v>
      </c>
      <c r="AF782" t="str">
        <f t="shared" si="135"/>
        <v>Same Day</v>
      </c>
    </row>
    <row r="783" spans="1:32">
      <c r="A783" t="s">
        <v>5645</v>
      </c>
      <c r="B783" s="4">
        <v>45324</v>
      </c>
      <c r="C783" s="4">
        <v>45332</v>
      </c>
      <c r="D783" t="s">
        <v>5646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  <c r="V783" t="str">
        <f t="shared" si="136"/>
        <v>February</v>
      </c>
      <c r="W783" t="str">
        <f t="shared" si="137"/>
        <v>OK</v>
      </c>
      <c r="X783" t="str">
        <f t="shared" si="138"/>
        <v>OK</v>
      </c>
      <c r="Y783">
        <f t="shared" si="132"/>
        <v>0.25</v>
      </c>
      <c r="Z783">
        <f t="shared" si="133"/>
        <v>1</v>
      </c>
      <c r="AA783">
        <f t="shared" si="139"/>
        <v>258.91999999999985</v>
      </c>
      <c r="AB783">
        <f t="shared" si="140"/>
        <v>862.64999999999986</v>
      </c>
      <c r="AC783">
        <f t="shared" si="141"/>
        <v>8</v>
      </c>
      <c r="AD783" t="str">
        <f t="shared" si="134"/>
        <v>West</v>
      </c>
      <c r="AE783" t="str">
        <f t="shared" si="142"/>
        <v>Clean</v>
      </c>
      <c r="AF783" t="str">
        <f t="shared" si="135"/>
        <v>First Class</v>
      </c>
    </row>
    <row r="784" spans="1:32">
      <c r="A784" t="s">
        <v>5647</v>
      </c>
      <c r="B784" s="4">
        <v>45730</v>
      </c>
      <c r="C784" s="4">
        <v>45738</v>
      </c>
      <c r="D784" t="s">
        <v>5648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  <c r="V784" t="str">
        <f t="shared" si="136"/>
        <v>March</v>
      </c>
      <c r="W784" t="str">
        <f t="shared" si="137"/>
        <v>OK</v>
      </c>
      <c r="X784" t="str">
        <f t="shared" si="138"/>
        <v>OK</v>
      </c>
      <c r="Y784">
        <f t="shared" si="132"/>
        <v>0.15</v>
      </c>
      <c r="Z784">
        <f t="shared" si="133"/>
        <v>1</v>
      </c>
      <c r="AA784">
        <f t="shared" si="139"/>
        <v>341.03099999999984</v>
      </c>
      <c r="AB784">
        <f t="shared" si="140"/>
        <v>1138.3709999999999</v>
      </c>
      <c r="AC784">
        <f t="shared" si="141"/>
        <v>8</v>
      </c>
      <c r="AD784" t="str">
        <f t="shared" si="134"/>
        <v>East</v>
      </c>
      <c r="AE784" t="str">
        <f t="shared" si="142"/>
        <v>Clean</v>
      </c>
      <c r="AF784" t="str">
        <f t="shared" si="135"/>
        <v>Standard Class</v>
      </c>
    </row>
    <row r="785" spans="1:32">
      <c r="A785" t="s">
        <v>5649</v>
      </c>
      <c r="B785" s="4">
        <v>45479</v>
      </c>
      <c r="C785" s="4">
        <v>45450</v>
      </c>
      <c r="D785" t="s">
        <v>5650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  <c r="V785" t="str">
        <f t="shared" si="136"/>
        <v>June</v>
      </c>
      <c r="W785" s="5" t="str">
        <f t="shared" si="137"/>
        <v>Invalid</v>
      </c>
      <c r="X785" t="str">
        <f t="shared" si="138"/>
        <v>OK</v>
      </c>
      <c r="Y785">
        <f t="shared" si="132"/>
        <v>0.05</v>
      </c>
      <c r="Z785">
        <f t="shared" si="133"/>
        <v>1</v>
      </c>
      <c r="AA785">
        <f t="shared" si="139"/>
        <v>546.13349999999969</v>
      </c>
      <c r="AB785">
        <f t="shared" si="140"/>
        <v>2452.8334999999997</v>
      </c>
      <c r="AC785" s="5">
        <f t="shared" si="141"/>
        <v>-29</v>
      </c>
      <c r="AD785" t="str">
        <f t="shared" si="134"/>
        <v>East</v>
      </c>
      <c r="AE785" t="str">
        <f t="shared" si="142"/>
        <v>Invalid</v>
      </c>
      <c r="AF785" t="str">
        <f t="shared" si="135"/>
        <v>Second Class</v>
      </c>
    </row>
    <row r="786" spans="1:32">
      <c r="A786" t="s">
        <v>5651</v>
      </c>
      <c r="B786" s="4">
        <v>45757</v>
      </c>
      <c r="C786" s="4">
        <v>45935</v>
      </c>
      <c r="D786" t="s">
        <v>5652</v>
      </c>
      <c r="E786" t="s">
        <v>142</v>
      </c>
      <c r="F786" t="s">
        <v>108</v>
      </c>
      <c r="G786" t="s">
        <v>27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  <c r="V786" t="str">
        <f t="shared" si="136"/>
        <v>October</v>
      </c>
      <c r="W786" t="str">
        <f t="shared" si="137"/>
        <v>OK</v>
      </c>
      <c r="X786" t="str">
        <f t="shared" si="138"/>
        <v>OK</v>
      </c>
      <c r="Y786">
        <f t="shared" si="132"/>
        <v>0.05</v>
      </c>
      <c r="Z786">
        <f t="shared" si="133"/>
        <v>1</v>
      </c>
      <c r="AA786">
        <f t="shared" si="139"/>
        <v>504.42399999999998</v>
      </c>
      <c r="AB786">
        <f t="shared" si="140"/>
        <v>1589.0840000000001</v>
      </c>
      <c r="AC786">
        <f t="shared" si="141"/>
        <v>178</v>
      </c>
      <c r="AD786" t="str">
        <f t="shared" si="134"/>
        <v>North</v>
      </c>
      <c r="AE786" t="str">
        <f t="shared" si="142"/>
        <v>Clean</v>
      </c>
      <c r="AF786" t="str">
        <f t="shared" si="135"/>
        <v>First Class</v>
      </c>
    </row>
    <row r="787" spans="1:32">
      <c r="A787" t="s">
        <v>5653</v>
      </c>
      <c r="B787" s="4">
        <v>45435</v>
      </c>
      <c r="C787" s="4">
        <v>45441</v>
      </c>
      <c r="D787" t="s">
        <v>5654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  <c r="V787" t="str">
        <f t="shared" si="136"/>
        <v>May</v>
      </c>
      <c r="W787" t="str">
        <f t="shared" si="137"/>
        <v>OK</v>
      </c>
      <c r="X787" t="str">
        <f t="shared" si="138"/>
        <v>OK</v>
      </c>
      <c r="Y787">
        <f t="shared" si="132"/>
        <v>0.25</v>
      </c>
      <c r="Z787">
        <f t="shared" si="133"/>
        <v>1</v>
      </c>
      <c r="AA787">
        <f t="shared" si="139"/>
        <v>1015.25</v>
      </c>
      <c r="AB787">
        <f t="shared" si="140"/>
        <v>4519.41</v>
      </c>
      <c r="AC787">
        <f t="shared" si="141"/>
        <v>6</v>
      </c>
      <c r="AD787" t="str">
        <f t="shared" si="134"/>
        <v>North</v>
      </c>
      <c r="AE787" t="str">
        <f t="shared" si="142"/>
        <v>Clean</v>
      </c>
      <c r="AF787" t="str">
        <f t="shared" si="135"/>
        <v>Same Day</v>
      </c>
    </row>
    <row r="788" spans="1:32">
      <c r="A788" t="s">
        <v>5655</v>
      </c>
      <c r="B788" s="4">
        <v>45815</v>
      </c>
      <c r="C788" s="4">
        <v>45846</v>
      </c>
      <c r="D788" t="s">
        <v>5656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M788" t="s">
        <v>4187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  <c r="V788" t="str">
        <f t="shared" si="136"/>
        <v>July</v>
      </c>
      <c r="W788" t="str">
        <f t="shared" si="137"/>
        <v>OK</v>
      </c>
      <c r="X788" t="str">
        <f t="shared" si="138"/>
        <v>OK</v>
      </c>
      <c r="Y788">
        <f t="shared" si="132"/>
        <v>0.05</v>
      </c>
      <c r="Z788">
        <f t="shared" si="133"/>
        <v>1</v>
      </c>
      <c r="AA788">
        <f t="shared" si="139"/>
        <v>653.65999999999985</v>
      </c>
      <c r="AB788">
        <f t="shared" si="140"/>
        <v>2718.71</v>
      </c>
      <c r="AC788">
        <f t="shared" si="141"/>
        <v>31</v>
      </c>
      <c r="AD788" t="str">
        <f t="shared" si="134"/>
        <v>North</v>
      </c>
      <c r="AE788" t="str">
        <f t="shared" si="142"/>
        <v>Clean</v>
      </c>
      <c r="AF788" s="5" t="str">
        <f t="shared" si="135"/>
        <v>Unknown</v>
      </c>
    </row>
    <row r="789" spans="1:32">
      <c r="A789" t="s">
        <v>5657</v>
      </c>
      <c r="B789" s="4">
        <v>45635</v>
      </c>
      <c r="C789" s="4">
        <v>45553</v>
      </c>
      <c r="D789" t="s">
        <v>5658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  <c r="V789" t="str">
        <f t="shared" si="136"/>
        <v>September</v>
      </c>
      <c r="W789" s="5" t="str">
        <f t="shared" si="137"/>
        <v>Invalid</v>
      </c>
      <c r="X789" t="str">
        <f t="shared" si="138"/>
        <v>OK</v>
      </c>
      <c r="Y789">
        <f t="shared" si="132"/>
        <v>0.05</v>
      </c>
      <c r="Z789">
        <f t="shared" si="133"/>
        <v>1</v>
      </c>
      <c r="AA789">
        <f t="shared" si="139"/>
        <v>2150.3929999999991</v>
      </c>
      <c r="AB789">
        <f t="shared" si="140"/>
        <v>7065.6629999999996</v>
      </c>
      <c r="AC789" s="5">
        <f t="shared" si="141"/>
        <v>-82</v>
      </c>
      <c r="AD789" t="str">
        <f t="shared" si="134"/>
        <v>East</v>
      </c>
      <c r="AE789" t="str">
        <f t="shared" si="142"/>
        <v>Invalid</v>
      </c>
      <c r="AF789" t="str">
        <f t="shared" si="135"/>
        <v>Second Class</v>
      </c>
    </row>
    <row r="790" spans="1:32">
      <c r="A790" t="s">
        <v>5659</v>
      </c>
      <c r="B790" s="4">
        <v>45299</v>
      </c>
      <c r="C790" s="4">
        <v>45506</v>
      </c>
      <c r="D790" t="s">
        <v>5660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  <c r="V790" t="str">
        <f t="shared" si="136"/>
        <v>August</v>
      </c>
      <c r="W790" t="str">
        <f t="shared" si="137"/>
        <v>OK</v>
      </c>
      <c r="X790" t="str">
        <f t="shared" si="138"/>
        <v>OK</v>
      </c>
      <c r="Y790">
        <f t="shared" si="132"/>
        <v>0.1</v>
      </c>
      <c r="Z790">
        <f t="shared" si="133"/>
        <v>1</v>
      </c>
      <c r="AA790">
        <f t="shared" si="139"/>
        <v>6364.9579999999987</v>
      </c>
      <c r="AB790">
        <f t="shared" si="140"/>
        <v>17911.007999999998</v>
      </c>
      <c r="AC790">
        <f t="shared" si="141"/>
        <v>207</v>
      </c>
      <c r="AD790" t="str">
        <f t="shared" si="134"/>
        <v>North</v>
      </c>
      <c r="AE790" t="str">
        <f t="shared" si="142"/>
        <v>Clean</v>
      </c>
      <c r="AF790" t="str">
        <f t="shared" si="135"/>
        <v>Standard Class</v>
      </c>
    </row>
    <row r="791" spans="1:32">
      <c r="A791" t="s">
        <v>5661</v>
      </c>
      <c r="B791" s="4">
        <v>45841</v>
      </c>
      <c r="C791" s="4">
        <v>45724</v>
      </c>
      <c r="D791" t="s">
        <v>5662</v>
      </c>
      <c r="E791" t="s">
        <v>142</v>
      </c>
      <c r="F791" t="s">
        <v>115</v>
      </c>
      <c r="G791" t="s">
        <v>4187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  <c r="V791" t="str">
        <f t="shared" si="136"/>
        <v>March</v>
      </c>
      <c r="W791" s="5" t="str">
        <f t="shared" si="137"/>
        <v>Invalid</v>
      </c>
      <c r="X791" t="str">
        <f t="shared" si="138"/>
        <v>OK</v>
      </c>
      <c r="Y791">
        <f t="shared" si="132"/>
        <v>0</v>
      </c>
      <c r="Z791">
        <f t="shared" si="133"/>
        <v>1</v>
      </c>
      <c r="AA791">
        <f t="shared" si="139"/>
        <v>4683.41</v>
      </c>
      <c r="AB791">
        <f t="shared" si="140"/>
        <v>14149.92</v>
      </c>
      <c r="AC791" s="5">
        <f t="shared" si="141"/>
        <v>-117</v>
      </c>
      <c r="AD791" s="5" t="str">
        <f t="shared" si="134"/>
        <v>Unknown</v>
      </c>
      <c r="AE791" t="str">
        <f t="shared" si="142"/>
        <v>Invalid</v>
      </c>
      <c r="AF791" t="str">
        <f t="shared" si="135"/>
        <v>Same Day</v>
      </c>
    </row>
    <row r="792" spans="1:32">
      <c r="A792" t="s">
        <v>5663</v>
      </c>
      <c r="B792" s="4">
        <v>45443</v>
      </c>
      <c r="C792" s="4">
        <v>45445</v>
      </c>
      <c r="D792" t="s">
        <v>5664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  <c r="V792" t="str">
        <f t="shared" si="136"/>
        <v>June</v>
      </c>
      <c r="W792" t="str">
        <f t="shared" si="137"/>
        <v>OK</v>
      </c>
      <c r="X792" t="str">
        <f t="shared" si="138"/>
        <v>OK</v>
      </c>
      <c r="Y792">
        <f t="shared" si="132"/>
        <v>0.2</v>
      </c>
      <c r="Z792">
        <f t="shared" si="133"/>
        <v>1</v>
      </c>
      <c r="AA792">
        <f t="shared" si="139"/>
        <v>943.65599999999995</v>
      </c>
      <c r="AB792">
        <f t="shared" si="140"/>
        <v>4272.576</v>
      </c>
      <c r="AC792">
        <f t="shared" si="141"/>
        <v>2</v>
      </c>
      <c r="AD792" t="str">
        <f t="shared" si="134"/>
        <v>South</v>
      </c>
      <c r="AE792" t="str">
        <f t="shared" si="142"/>
        <v>Clean</v>
      </c>
      <c r="AF792" t="str">
        <f t="shared" si="135"/>
        <v>Standard Class</v>
      </c>
    </row>
    <row r="793" spans="1:32">
      <c r="A793" t="s">
        <v>5665</v>
      </c>
      <c r="B793" s="4">
        <v>45332</v>
      </c>
      <c r="C793" s="4">
        <v>45571</v>
      </c>
      <c r="D793" t="s">
        <v>5666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  <c r="V793" t="str">
        <f t="shared" si="136"/>
        <v>October</v>
      </c>
      <c r="W793" t="str">
        <f t="shared" si="137"/>
        <v>OK</v>
      </c>
      <c r="X793" t="str">
        <f t="shared" si="138"/>
        <v>OK</v>
      </c>
      <c r="Y793">
        <f t="shared" si="132"/>
        <v>0.25</v>
      </c>
      <c r="Z793">
        <f t="shared" si="133"/>
        <v>1</v>
      </c>
      <c r="AA793">
        <f t="shared" si="139"/>
        <v>4083.2099999999991</v>
      </c>
      <c r="AB793">
        <f t="shared" si="140"/>
        <v>9352.619999999999</v>
      </c>
      <c r="AC793">
        <f t="shared" si="141"/>
        <v>239</v>
      </c>
      <c r="AD793" t="str">
        <f t="shared" si="134"/>
        <v>South</v>
      </c>
      <c r="AE793" t="str">
        <f t="shared" si="142"/>
        <v>Clean</v>
      </c>
      <c r="AF793" t="str">
        <f t="shared" si="135"/>
        <v>Same Day</v>
      </c>
    </row>
    <row r="794" spans="1:32">
      <c r="A794" t="s">
        <v>5667</v>
      </c>
      <c r="B794" s="4">
        <v>45753</v>
      </c>
      <c r="C794" s="4">
        <v>45816</v>
      </c>
      <c r="D794" t="s">
        <v>5668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  <c r="V794" t="str">
        <f t="shared" si="136"/>
        <v>June</v>
      </c>
      <c r="W794" t="str">
        <f t="shared" si="137"/>
        <v>OK</v>
      </c>
      <c r="X794" t="str">
        <f t="shared" si="138"/>
        <v>OK</v>
      </c>
      <c r="Y794">
        <f t="shared" si="132"/>
        <v>0.2</v>
      </c>
      <c r="Z794">
        <f t="shared" si="133"/>
        <v>1</v>
      </c>
      <c r="AA794">
        <f t="shared" si="139"/>
        <v>1064.9160000000002</v>
      </c>
      <c r="AB794">
        <f t="shared" si="140"/>
        <v>2800.8960000000002</v>
      </c>
      <c r="AC794">
        <f t="shared" si="141"/>
        <v>63</v>
      </c>
      <c r="AD794" t="str">
        <f t="shared" si="134"/>
        <v>East</v>
      </c>
      <c r="AE794" t="str">
        <f t="shared" si="142"/>
        <v>Clean</v>
      </c>
      <c r="AF794" t="str">
        <f t="shared" si="135"/>
        <v>Second Class</v>
      </c>
    </row>
    <row r="795" spans="1:32">
      <c r="A795" t="s">
        <v>5669</v>
      </c>
      <c r="B795" s="4">
        <v>45440</v>
      </c>
      <c r="C795" s="4">
        <v>45446</v>
      </c>
      <c r="D795" t="s">
        <v>5670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  <c r="V795" t="str">
        <f t="shared" si="136"/>
        <v>June</v>
      </c>
      <c r="W795" t="str">
        <f t="shared" si="137"/>
        <v>OK</v>
      </c>
      <c r="X795" t="str">
        <f t="shared" si="138"/>
        <v>OK</v>
      </c>
      <c r="Y795">
        <f t="shared" si="132"/>
        <v>0</v>
      </c>
      <c r="Z795">
        <f t="shared" si="133"/>
        <v>1</v>
      </c>
      <c r="AA795">
        <f t="shared" si="139"/>
        <v>6103.1299999999992</v>
      </c>
      <c r="AB795">
        <f t="shared" si="140"/>
        <v>21511.599999999999</v>
      </c>
      <c r="AC795">
        <f t="shared" si="141"/>
        <v>6</v>
      </c>
      <c r="AD795" t="str">
        <f t="shared" si="134"/>
        <v>North</v>
      </c>
      <c r="AE795" t="str">
        <f t="shared" si="142"/>
        <v>Clean</v>
      </c>
      <c r="AF795" t="str">
        <f t="shared" si="135"/>
        <v>Second Class</v>
      </c>
    </row>
    <row r="796" spans="1:32">
      <c r="A796" t="s">
        <v>5671</v>
      </c>
      <c r="B796" s="4">
        <v>45830</v>
      </c>
      <c r="C796" s="4">
        <v>45832</v>
      </c>
      <c r="D796" t="s">
        <v>5672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  <c r="V796" t="str">
        <f t="shared" si="136"/>
        <v>June</v>
      </c>
      <c r="W796" t="str">
        <f t="shared" si="137"/>
        <v>OK</v>
      </c>
      <c r="X796" t="str">
        <f t="shared" si="138"/>
        <v>OK</v>
      </c>
      <c r="Y796">
        <f t="shared" si="132"/>
        <v>0.15</v>
      </c>
      <c r="Z796">
        <f t="shared" si="133"/>
        <v>1</v>
      </c>
      <c r="AA796">
        <f t="shared" si="139"/>
        <v>2408.9674999999988</v>
      </c>
      <c r="AB796">
        <f t="shared" si="140"/>
        <v>7279.3574999999992</v>
      </c>
      <c r="AC796">
        <f t="shared" si="141"/>
        <v>2</v>
      </c>
      <c r="AD796" t="str">
        <f t="shared" si="134"/>
        <v>East</v>
      </c>
      <c r="AE796" t="str">
        <f t="shared" si="142"/>
        <v>Clean</v>
      </c>
      <c r="AF796" t="str">
        <f t="shared" si="135"/>
        <v>Standard Class</v>
      </c>
    </row>
    <row r="797" spans="1:32">
      <c r="A797" t="s">
        <v>5673</v>
      </c>
      <c r="B797" s="4">
        <v>45503</v>
      </c>
      <c r="C797" s="4">
        <v>45503</v>
      </c>
      <c r="D797" t="s">
        <v>5674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  <c r="V797" t="str">
        <f t="shared" si="136"/>
        <v>July</v>
      </c>
      <c r="W797" s="5" t="str">
        <f t="shared" si="137"/>
        <v>Invalid</v>
      </c>
      <c r="X797" t="str">
        <f t="shared" si="138"/>
        <v>OK</v>
      </c>
      <c r="Y797">
        <f t="shared" si="132"/>
        <v>0</v>
      </c>
      <c r="Z797">
        <f t="shared" si="133"/>
        <v>1</v>
      </c>
      <c r="AA797">
        <f t="shared" si="139"/>
        <v>9168.3499999999985</v>
      </c>
      <c r="AB797">
        <f t="shared" si="140"/>
        <v>26051.94</v>
      </c>
      <c r="AC797">
        <f t="shared" si="141"/>
        <v>0</v>
      </c>
      <c r="AD797" t="str">
        <f t="shared" si="134"/>
        <v>East</v>
      </c>
      <c r="AE797" t="str">
        <f t="shared" si="142"/>
        <v>Clean</v>
      </c>
      <c r="AF797" t="str">
        <f t="shared" si="135"/>
        <v>Same Day</v>
      </c>
    </row>
    <row r="798" spans="1:32">
      <c r="A798" t="s">
        <v>5675</v>
      </c>
      <c r="B798" s="4">
        <v>45374</v>
      </c>
      <c r="C798" s="4">
        <v>45381</v>
      </c>
      <c r="D798" t="s">
        <v>5676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  <c r="V798" t="str">
        <f t="shared" si="136"/>
        <v>March</v>
      </c>
      <c r="W798" t="str">
        <f t="shared" si="137"/>
        <v>OK</v>
      </c>
      <c r="X798" t="str">
        <f t="shared" si="138"/>
        <v>OK</v>
      </c>
      <c r="Y798">
        <f t="shared" si="132"/>
        <v>0.15</v>
      </c>
      <c r="Z798">
        <f t="shared" si="133"/>
        <v>1</v>
      </c>
      <c r="AA798">
        <f t="shared" si="139"/>
        <v>3357.873999999998</v>
      </c>
      <c r="AB798">
        <f t="shared" si="140"/>
        <v>9661.6439999999984</v>
      </c>
      <c r="AC798">
        <f t="shared" si="141"/>
        <v>7</v>
      </c>
      <c r="AD798" t="str">
        <f t="shared" si="134"/>
        <v>South</v>
      </c>
      <c r="AE798" t="str">
        <f t="shared" si="142"/>
        <v>Clean</v>
      </c>
      <c r="AF798" t="str">
        <f t="shared" si="135"/>
        <v>First Class</v>
      </c>
    </row>
    <row r="799" spans="1:32">
      <c r="A799" t="s">
        <v>5677</v>
      </c>
      <c r="B799" s="4">
        <v>45400</v>
      </c>
      <c r="C799" s="4">
        <v>45404</v>
      </c>
      <c r="D799" t="s">
        <v>5678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  <c r="V799" t="str">
        <f t="shared" si="136"/>
        <v>April</v>
      </c>
      <c r="W799" t="str">
        <f t="shared" si="137"/>
        <v>OK</v>
      </c>
      <c r="X799" t="str">
        <f t="shared" si="138"/>
        <v>OK</v>
      </c>
      <c r="Y799">
        <f t="shared" si="132"/>
        <v>0</v>
      </c>
      <c r="Z799">
        <f t="shared" si="133"/>
        <v>1</v>
      </c>
      <c r="AA799">
        <f t="shared" si="139"/>
        <v>3164.49</v>
      </c>
      <c r="AB799">
        <f t="shared" si="140"/>
        <v>13714.96</v>
      </c>
      <c r="AC799">
        <f t="shared" si="141"/>
        <v>4</v>
      </c>
      <c r="AD799" t="str">
        <f t="shared" si="134"/>
        <v>East</v>
      </c>
      <c r="AE799" t="str">
        <f t="shared" si="142"/>
        <v>Clean</v>
      </c>
      <c r="AF799" t="str">
        <f t="shared" si="135"/>
        <v>First Class</v>
      </c>
    </row>
    <row r="800" spans="1:32">
      <c r="A800" t="s">
        <v>5679</v>
      </c>
      <c r="B800" s="4">
        <v>45968</v>
      </c>
      <c r="C800" s="4">
        <v>45847</v>
      </c>
      <c r="D800" t="s">
        <v>5680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  <c r="V800" t="str">
        <f t="shared" si="136"/>
        <v>July</v>
      </c>
      <c r="W800" s="5" t="str">
        <f t="shared" si="137"/>
        <v>Invalid</v>
      </c>
      <c r="X800" t="str">
        <f t="shared" si="138"/>
        <v>OK</v>
      </c>
      <c r="Y800">
        <f t="shared" si="132"/>
        <v>0</v>
      </c>
      <c r="Z800">
        <f t="shared" si="133"/>
        <v>1</v>
      </c>
      <c r="AA800">
        <f t="shared" si="139"/>
        <v>5697.9499999999989</v>
      </c>
      <c r="AB800">
        <f t="shared" si="140"/>
        <v>15354.449999999999</v>
      </c>
      <c r="AC800" s="5">
        <f t="shared" si="141"/>
        <v>-121</v>
      </c>
      <c r="AD800" t="str">
        <f t="shared" si="134"/>
        <v>North</v>
      </c>
      <c r="AE800" t="str">
        <f t="shared" si="142"/>
        <v>Invalid</v>
      </c>
      <c r="AF800" t="str">
        <f t="shared" si="135"/>
        <v>Standard Class</v>
      </c>
    </row>
    <row r="801" spans="1:32">
      <c r="A801" t="s">
        <v>5681</v>
      </c>
      <c r="B801" s="4">
        <v>45575</v>
      </c>
      <c r="C801" s="4">
        <v>45582</v>
      </c>
      <c r="D801" t="s">
        <v>5682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M801" t="s">
        <v>4187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  <c r="V801" t="str">
        <f t="shared" si="136"/>
        <v>October</v>
      </c>
      <c r="W801" t="str">
        <f t="shared" si="137"/>
        <v>OK</v>
      </c>
      <c r="X801" t="str">
        <f t="shared" si="138"/>
        <v>OK</v>
      </c>
      <c r="Y801">
        <f t="shared" si="132"/>
        <v>0.05</v>
      </c>
      <c r="Z801">
        <f t="shared" si="133"/>
        <v>1</v>
      </c>
      <c r="AA801">
        <f t="shared" si="139"/>
        <v>707.78750000000036</v>
      </c>
      <c r="AB801">
        <f t="shared" si="140"/>
        <v>4595.1975000000002</v>
      </c>
      <c r="AC801">
        <f t="shared" si="141"/>
        <v>7</v>
      </c>
      <c r="AD801" t="str">
        <f t="shared" si="134"/>
        <v>North</v>
      </c>
      <c r="AE801" t="str">
        <f t="shared" si="142"/>
        <v>Clean</v>
      </c>
      <c r="AF801" s="5" t="str">
        <f t="shared" si="135"/>
        <v>Unknown</v>
      </c>
    </row>
    <row r="802" spans="1:32">
      <c r="A802" t="s">
        <v>5683</v>
      </c>
      <c r="B802" s="4">
        <v>45294</v>
      </c>
      <c r="C802" s="4">
        <v>45358</v>
      </c>
      <c r="D802" t="s">
        <v>5684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  <c r="V802" t="str">
        <f t="shared" si="136"/>
        <v>March</v>
      </c>
      <c r="W802" t="str">
        <f t="shared" si="137"/>
        <v>OK</v>
      </c>
      <c r="X802" t="str">
        <f t="shared" si="138"/>
        <v>OK</v>
      </c>
      <c r="Y802">
        <f t="shared" si="132"/>
        <v>0.15</v>
      </c>
      <c r="Z802">
        <f t="shared" si="133"/>
        <v>1</v>
      </c>
      <c r="AA802">
        <f t="shared" si="139"/>
        <v>4498.8819999999978</v>
      </c>
      <c r="AB802">
        <f t="shared" si="140"/>
        <v>21234.971999999998</v>
      </c>
      <c r="AC802">
        <f t="shared" si="141"/>
        <v>64</v>
      </c>
      <c r="AD802" t="str">
        <f t="shared" si="134"/>
        <v>West</v>
      </c>
      <c r="AE802" t="str">
        <f t="shared" si="142"/>
        <v>Clean</v>
      </c>
      <c r="AF802" t="str">
        <f t="shared" si="135"/>
        <v>Second Class</v>
      </c>
    </row>
    <row r="803" spans="1:32">
      <c r="A803" t="s">
        <v>5685</v>
      </c>
      <c r="B803" s="4">
        <v>45879</v>
      </c>
      <c r="C803" s="4">
        <v>45945</v>
      </c>
      <c r="D803" t="s">
        <v>5686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  <c r="V803" t="str">
        <f t="shared" si="136"/>
        <v>October</v>
      </c>
      <c r="W803" t="str">
        <f t="shared" si="137"/>
        <v>OK</v>
      </c>
      <c r="X803" t="str">
        <f t="shared" si="138"/>
        <v>OK</v>
      </c>
      <c r="Y803">
        <f t="shared" si="132"/>
        <v>0.2</v>
      </c>
      <c r="Z803">
        <f t="shared" si="133"/>
        <v>1</v>
      </c>
      <c r="AA803">
        <f t="shared" si="139"/>
        <v>2040.8740000000007</v>
      </c>
      <c r="AB803">
        <f t="shared" si="140"/>
        <v>8093.304000000001</v>
      </c>
      <c r="AC803">
        <f t="shared" si="141"/>
        <v>66</v>
      </c>
      <c r="AD803" t="str">
        <f t="shared" si="134"/>
        <v>East</v>
      </c>
      <c r="AE803" t="str">
        <f t="shared" si="142"/>
        <v>Clean</v>
      </c>
      <c r="AF803" t="str">
        <f t="shared" si="135"/>
        <v>Second Class</v>
      </c>
    </row>
    <row r="804" spans="1:32">
      <c r="A804" t="s">
        <v>5687</v>
      </c>
      <c r="B804" s="4">
        <v>45704</v>
      </c>
      <c r="C804" s="4">
        <v>45704</v>
      </c>
      <c r="D804" t="s">
        <v>5688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200</v>
      </c>
      <c r="U804" t="s">
        <v>125</v>
      </c>
      <c r="V804" t="str">
        <f t="shared" si="136"/>
        <v>February</v>
      </c>
      <c r="W804" s="5" t="str">
        <f t="shared" si="137"/>
        <v>Invalid</v>
      </c>
      <c r="X804" t="str">
        <f t="shared" si="138"/>
        <v>OK</v>
      </c>
      <c r="Y804">
        <f t="shared" si="132"/>
        <v>0</v>
      </c>
      <c r="Z804">
        <f t="shared" si="133"/>
        <v>1</v>
      </c>
      <c r="AA804">
        <f t="shared" si="139"/>
        <v>3396.8400000000011</v>
      </c>
      <c r="AB804">
        <f t="shared" si="140"/>
        <v>8651.4600000000009</v>
      </c>
      <c r="AC804">
        <f t="shared" si="141"/>
        <v>0</v>
      </c>
      <c r="AD804" t="str">
        <f t="shared" si="134"/>
        <v>East</v>
      </c>
      <c r="AE804" t="str">
        <f t="shared" si="142"/>
        <v>Clean</v>
      </c>
      <c r="AF804" t="str">
        <f t="shared" si="135"/>
        <v>Second Class</v>
      </c>
    </row>
    <row r="805" spans="1:32">
      <c r="A805" t="s">
        <v>5689</v>
      </c>
      <c r="B805" s="4">
        <v>45547</v>
      </c>
      <c r="C805" s="4">
        <v>45639</v>
      </c>
      <c r="D805" t="s">
        <v>5690</v>
      </c>
      <c r="E805" t="s">
        <v>180</v>
      </c>
      <c r="F805" t="s">
        <v>26</v>
      </c>
      <c r="G805" t="s">
        <v>4187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  <c r="V805" t="str">
        <f t="shared" si="136"/>
        <v>December</v>
      </c>
      <c r="W805" t="str">
        <f t="shared" si="137"/>
        <v>OK</v>
      </c>
      <c r="X805" t="str">
        <f t="shared" si="138"/>
        <v>OK</v>
      </c>
      <c r="Y805">
        <f t="shared" si="132"/>
        <v>0</v>
      </c>
      <c r="Z805">
        <f t="shared" si="133"/>
        <v>1</v>
      </c>
      <c r="AA805">
        <f t="shared" si="139"/>
        <v>1737.8299999999995</v>
      </c>
      <c r="AB805">
        <f t="shared" si="140"/>
        <v>4306.6499999999996</v>
      </c>
      <c r="AC805">
        <f t="shared" si="141"/>
        <v>92</v>
      </c>
      <c r="AD805" s="5" t="str">
        <f t="shared" si="134"/>
        <v>Unknown</v>
      </c>
      <c r="AE805" t="str">
        <f t="shared" si="142"/>
        <v>Clean</v>
      </c>
      <c r="AF805" t="str">
        <f t="shared" si="135"/>
        <v>First Class</v>
      </c>
    </row>
    <row r="806" spans="1:32">
      <c r="A806" t="s">
        <v>5691</v>
      </c>
      <c r="B806" s="4">
        <v>45910</v>
      </c>
      <c r="C806" s="4">
        <v>45918</v>
      </c>
      <c r="D806" t="s">
        <v>5692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  <c r="V806" t="str">
        <f t="shared" si="136"/>
        <v>September</v>
      </c>
      <c r="W806" t="str">
        <f t="shared" si="137"/>
        <v>OK</v>
      </c>
      <c r="X806" t="str">
        <f t="shared" si="138"/>
        <v>OK</v>
      </c>
      <c r="Y806">
        <f t="shared" si="132"/>
        <v>0.05</v>
      </c>
      <c r="Z806">
        <f t="shared" si="133"/>
        <v>1</v>
      </c>
      <c r="AA806">
        <f t="shared" si="139"/>
        <v>441.00899999999979</v>
      </c>
      <c r="AB806">
        <f t="shared" si="140"/>
        <v>1948.0889999999997</v>
      </c>
      <c r="AC806">
        <f t="shared" si="141"/>
        <v>8</v>
      </c>
      <c r="AD806" t="str">
        <f t="shared" si="134"/>
        <v>South</v>
      </c>
      <c r="AE806" t="str">
        <f t="shared" si="142"/>
        <v>Clean</v>
      </c>
      <c r="AF806" t="str">
        <f t="shared" si="135"/>
        <v>Standard Class</v>
      </c>
    </row>
    <row r="807" spans="1:32">
      <c r="A807" t="s">
        <v>5693</v>
      </c>
      <c r="B807" s="4">
        <v>45812</v>
      </c>
      <c r="C807" s="4">
        <v>45754</v>
      </c>
      <c r="D807" t="s">
        <v>5604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  <c r="V807" t="str">
        <f t="shared" si="136"/>
        <v>April</v>
      </c>
      <c r="W807" s="5" t="str">
        <f t="shared" si="137"/>
        <v>Invalid</v>
      </c>
      <c r="X807" t="str">
        <f t="shared" si="138"/>
        <v>OK</v>
      </c>
      <c r="Y807">
        <f t="shared" si="132"/>
        <v>0.25</v>
      </c>
      <c r="Z807">
        <f t="shared" si="133"/>
        <v>1</v>
      </c>
      <c r="AA807">
        <f t="shared" si="139"/>
        <v>444</v>
      </c>
      <c r="AB807">
        <f t="shared" si="140"/>
        <v>3045.09</v>
      </c>
      <c r="AC807" s="5">
        <f t="shared" si="141"/>
        <v>-58</v>
      </c>
      <c r="AD807" t="str">
        <f t="shared" si="134"/>
        <v>East</v>
      </c>
      <c r="AE807" t="str">
        <f t="shared" si="142"/>
        <v>Invalid</v>
      </c>
      <c r="AF807" t="str">
        <f t="shared" si="135"/>
        <v>Second Class</v>
      </c>
    </row>
    <row r="808" spans="1:32">
      <c r="A808" t="s">
        <v>5694</v>
      </c>
      <c r="B808" s="4">
        <v>45605</v>
      </c>
      <c r="C808" s="4">
        <v>45611</v>
      </c>
      <c r="D808" t="s">
        <v>5695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  <c r="V808" t="str">
        <f t="shared" si="136"/>
        <v>November</v>
      </c>
      <c r="W808" t="str">
        <f t="shared" si="137"/>
        <v>OK</v>
      </c>
      <c r="X808" t="str">
        <f t="shared" si="138"/>
        <v>OK</v>
      </c>
      <c r="Y808">
        <f t="shared" si="132"/>
        <v>0.2</v>
      </c>
      <c r="Z808">
        <f t="shared" si="133"/>
        <v>1</v>
      </c>
      <c r="AA808">
        <f t="shared" si="139"/>
        <v>1032.4259999999999</v>
      </c>
      <c r="AB808">
        <f t="shared" si="140"/>
        <v>2932.7759999999998</v>
      </c>
      <c r="AC808">
        <f t="shared" si="141"/>
        <v>6</v>
      </c>
      <c r="AD808" t="str">
        <f t="shared" si="134"/>
        <v>North</v>
      </c>
      <c r="AE808" t="str">
        <f t="shared" si="142"/>
        <v>Clean</v>
      </c>
      <c r="AF808" t="str">
        <f t="shared" si="135"/>
        <v>Standard Class</v>
      </c>
    </row>
    <row r="809" spans="1:32">
      <c r="A809" t="s">
        <v>5696</v>
      </c>
      <c r="B809" s="4">
        <v>45840</v>
      </c>
      <c r="C809" s="4">
        <v>45696</v>
      </c>
      <c r="D809" t="s">
        <v>5697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67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  <c r="V809" t="str">
        <f t="shared" si="136"/>
        <v>February</v>
      </c>
      <c r="W809" s="5" t="str">
        <f t="shared" si="137"/>
        <v>Invalid</v>
      </c>
      <c r="X809" t="str">
        <f t="shared" si="138"/>
        <v>OK</v>
      </c>
      <c r="Y809">
        <f t="shared" si="132"/>
        <v>0.1</v>
      </c>
      <c r="Z809">
        <f t="shared" si="133"/>
        <v>1</v>
      </c>
      <c r="AA809">
        <f t="shared" si="139"/>
        <v>655.43400000000065</v>
      </c>
      <c r="AB809">
        <f t="shared" si="140"/>
        <v>4379.3640000000005</v>
      </c>
      <c r="AC809" s="5">
        <f t="shared" si="141"/>
        <v>-144</v>
      </c>
      <c r="AD809" t="str">
        <f t="shared" si="134"/>
        <v>South</v>
      </c>
      <c r="AE809" t="str">
        <f t="shared" si="142"/>
        <v>Invalid</v>
      </c>
      <c r="AF809" t="str">
        <f t="shared" si="135"/>
        <v>Standard Class</v>
      </c>
    </row>
    <row r="810" spans="1:32">
      <c r="A810" t="s">
        <v>5698</v>
      </c>
      <c r="B810" s="4">
        <v>45900</v>
      </c>
      <c r="C810" s="4">
        <v>45897</v>
      </c>
      <c r="D810" t="s">
        <v>5699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  <c r="V810" t="str">
        <f t="shared" si="136"/>
        <v>August</v>
      </c>
      <c r="W810" s="5" t="str">
        <f t="shared" si="137"/>
        <v>Invalid</v>
      </c>
      <c r="X810" t="str">
        <f t="shared" si="138"/>
        <v>OK</v>
      </c>
      <c r="Y810">
        <f t="shared" si="132"/>
        <v>0.2</v>
      </c>
      <c r="Z810">
        <f t="shared" si="133"/>
        <v>1</v>
      </c>
      <c r="AA810">
        <f t="shared" si="139"/>
        <v>995.4380000000001</v>
      </c>
      <c r="AB810">
        <f t="shared" si="140"/>
        <v>5472.768</v>
      </c>
      <c r="AC810" s="5">
        <f t="shared" si="141"/>
        <v>-3</v>
      </c>
      <c r="AD810" t="str">
        <f t="shared" si="134"/>
        <v>South</v>
      </c>
      <c r="AE810" t="str">
        <f t="shared" si="142"/>
        <v>Invalid</v>
      </c>
      <c r="AF810" t="str">
        <f t="shared" si="135"/>
        <v>First Class</v>
      </c>
    </row>
    <row r="811" spans="1:32">
      <c r="A811" t="s">
        <v>5700</v>
      </c>
      <c r="B811" s="4">
        <v>45833</v>
      </c>
      <c r="C811" s="4">
        <v>45833</v>
      </c>
      <c r="D811" t="s">
        <v>5701</v>
      </c>
      <c r="E811" t="s">
        <v>61</v>
      </c>
      <c r="F811" t="s">
        <v>41</v>
      </c>
      <c r="G811" t="s">
        <v>4187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  <c r="V811" t="str">
        <f t="shared" si="136"/>
        <v>June</v>
      </c>
      <c r="W811" s="5" t="str">
        <f t="shared" si="137"/>
        <v>Invalid</v>
      </c>
      <c r="X811" t="str">
        <f t="shared" si="138"/>
        <v>OK</v>
      </c>
      <c r="Y811">
        <f t="shared" si="132"/>
        <v>0.1</v>
      </c>
      <c r="Z811">
        <f t="shared" si="133"/>
        <v>1</v>
      </c>
      <c r="AA811">
        <f t="shared" si="139"/>
        <v>2291.8920000000007</v>
      </c>
      <c r="AB811">
        <f t="shared" si="140"/>
        <v>7377.1020000000008</v>
      </c>
      <c r="AC811">
        <f t="shared" si="141"/>
        <v>0</v>
      </c>
      <c r="AD811" s="5" t="str">
        <f t="shared" si="134"/>
        <v>Unknown</v>
      </c>
      <c r="AE811" t="str">
        <f t="shared" si="142"/>
        <v>Clean</v>
      </c>
      <c r="AF811" t="str">
        <f t="shared" si="135"/>
        <v>Second Class</v>
      </c>
    </row>
    <row r="812" spans="1:32">
      <c r="A812" t="s">
        <v>5702</v>
      </c>
      <c r="B812" s="4">
        <v>45355</v>
      </c>
      <c r="C812" s="4">
        <v>45390</v>
      </c>
      <c r="D812" t="s">
        <v>5152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  <c r="V812" t="str">
        <f t="shared" si="136"/>
        <v>April</v>
      </c>
      <c r="W812" t="str">
        <f t="shared" si="137"/>
        <v>OK</v>
      </c>
      <c r="X812" t="str">
        <f t="shared" si="138"/>
        <v>OK</v>
      </c>
      <c r="Y812">
        <f t="shared" si="132"/>
        <v>0.25</v>
      </c>
      <c r="Z812">
        <f t="shared" si="133"/>
        <v>1</v>
      </c>
      <c r="AA812">
        <f t="shared" si="139"/>
        <v>892.37749999999983</v>
      </c>
      <c r="AB812">
        <f t="shared" si="140"/>
        <v>2363.8874999999998</v>
      </c>
      <c r="AC812">
        <f t="shared" si="141"/>
        <v>35</v>
      </c>
      <c r="AD812" t="str">
        <f t="shared" si="134"/>
        <v>West</v>
      </c>
      <c r="AE812" t="str">
        <f t="shared" si="142"/>
        <v>Clean</v>
      </c>
      <c r="AF812" t="str">
        <f t="shared" si="135"/>
        <v>First Class</v>
      </c>
    </row>
    <row r="813" spans="1:32">
      <c r="A813" t="s">
        <v>5703</v>
      </c>
      <c r="B813" s="4">
        <v>45638</v>
      </c>
      <c r="C813" s="4">
        <v>45645</v>
      </c>
      <c r="D813" t="s">
        <v>5704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  <c r="V813" t="str">
        <f t="shared" si="136"/>
        <v>December</v>
      </c>
      <c r="W813" t="str">
        <f t="shared" si="137"/>
        <v>OK</v>
      </c>
      <c r="X813" t="str">
        <f t="shared" si="138"/>
        <v>OK</v>
      </c>
      <c r="Y813">
        <f t="shared" si="132"/>
        <v>0.2</v>
      </c>
      <c r="Z813">
        <f t="shared" si="133"/>
        <v>1</v>
      </c>
      <c r="AA813">
        <f t="shared" si="139"/>
        <v>1101.3300000000004</v>
      </c>
      <c r="AB813">
        <f t="shared" si="140"/>
        <v>2577.2000000000003</v>
      </c>
      <c r="AC813">
        <f t="shared" si="141"/>
        <v>7</v>
      </c>
      <c r="AD813" t="str">
        <f t="shared" si="134"/>
        <v>North</v>
      </c>
      <c r="AE813" t="str">
        <f t="shared" si="142"/>
        <v>Clean</v>
      </c>
      <c r="AF813" t="str">
        <f t="shared" si="135"/>
        <v>First Class</v>
      </c>
    </row>
    <row r="814" spans="1:32">
      <c r="A814" t="s">
        <v>5705</v>
      </c>
      <c r="B814" s="4">
        <v>45458</v>
      </c>
      <c r="C814" s="4">
        <v>45463</v>
      </c>
      <c r="D814" t="s">
        <v>5706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  <c r="V814" t="str">
        <f t="shared" si="136"/>
        <v>June</v>
      </c>
      <c r="W814" t="str">
        <f t="shared" si="137"/>
        <v>OK</v>
      </c>
      <c r="X814" t="str">
        <f t="shared" si="138"/>
        <v>OK</v>
      </c>
      <c r="Y814">
        <f t="shared" si="132"/>
        <v>0</v>
      </c>
      <c r="Z814">
        <f t="shared" si="133"/>
        <v>1</v>
      </c>
      <c r="AA814">
        <f t="shared" si="139"/>
        <v>3705.6299999999992</v>
      </c>
      <c r="AB814">
        <f t="shared" si="140"/>
        <v>17827.759999999998</v>
      </c>
      <c r="AC814">
        <f t="shared" si="141"/>
        <v>5</v>
      </c>
      <c r="AD814" t="str">
        <f t="shared" si="134"/>
        <v>East</v>
      </c>
      <c r="AE814" t="str">
        <f t="shared" si="142"/>
        <v>Clean</v>
      </c>
      <c r="AF814" t="str">
        <f t="shared" si="135"/>
        <v>First Class</v>
      </c>
    </row>
    <row r="815" spans="1:32">
      <c r="A815" t="s">
        <v>5707</v>
      </c>
      <c r="B815" s="4">
        <v>45812</v>
      </c>
      <c r="C815" s="4">
        <v>45757</v>
      </c>
      <c r="D815" t="s">
        <v>5708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  <c r="V815" t="str">
        <f t="shared" si="136"/>
        <v>April</v>
      </c>
      <c r="W815" s="5" t="str">
        <f t="shared" si="137"/>
        <v>Invalid</v>
      </c>
      <c r="X815" t="str">
        <f t="shared" si="138"/>
        <v>OK</v>
      </c>
      <c r="Y815">
        <f t="shared" si="132"/>
        <v>0</v>
      </c>
      <c r="Z815">
        <f t="shared" si="133"/>
        <v>1</v>
      </c>
      <c r="AA815">
        <f t="shared" si="139"/>
        <v>1079.4700000000003</v>
      </c>
      <c r="AB815">
        <f t="shared" si="140"/>
        <v>2675.34</v>
      </c>
      <c r="AC815" s="5">
        <f t="shared" si="141"/>
        <v>-55</v>
      </c>
      <c r="AD815" t="str">
        <f t="shared" si="134"/>
        <v>East</v>
      </c>
      <c r="AE815" t="str">
        <f t="shared" si="142"/>
        <v>Invalid</v>
      </c>
      <c r="AF815" t="str">
        <f t="shared" si="135"/>
        <v>Standard Class</v>
      </c>
    </row>
    <row r="816" spans="1:32">
      <c r="A816" t="s">
        <v>5709</v>
      </c>
      <c r="B816" s="4">
        <v>45816</v>
      </c>
      <c r="C816" s="4">
        <v>45880</v>
      </c>
      <c r="D816" t="s">
        <v>5710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  <c r="V816" t="str">
        <f t="shared" si="136"/>
        <v>August</v>
      </c>
      <c r="W816" t="str">
        <f t="shared" si="137"/>
        <v>OK</v>
      </c>
      <c r="X816" t="str">
        <f t="shared" si="138"/>
        <v>OK</v>
      </c>
      <c r="Y816">
        <f t="shared" si="132"/>
        <v>0.25</v>
      </c>
      <c r="Z816">
        <f t="shared" si="133"/>
        <v>1</v>
      </c>
      <c r="AA816">
        <f t="shared" si="139"/>
        <v>924.21</v>
      </c>
      <c r="AB816">
        <f t="shared" si="140"/>
        <v>3563.91</v>
      </c>
      <c r="AC816">
        <f t="shared" si="141"/>
        <v>64</v>
      </c>
      <c r="AD816" t="str">
        <f t="shared" si="134"/>
        <v>West</v>
      </c>
      <c r="AE816" t="str">
        <f t="shared" si="142"/>
        <v>Clean</v>
      </c>
      <c r="AF816" t="str">
        <f t="shared" si="135"/>
        <v>First Class</v>
      </c>
    </row>
    <row r="817" spans="1:32">
      <c r="A817" t="s">
        <v>5711</v>
      </c>
      <c r="B817" s="4">
        <v>45295</v>
      </c>
      <c r="C817" s="4">
        <v>45390</v>
      </c>
      <c r="D817" t="s">
        <v>5712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  <c r="V817" t="str">
        <f t="shared" si="136"/>
        <v>April</v>
      </c>
      <c r="W817" t="str">
        <f t="shared" si="137"/>
        <v>OK</v>
      </c>
      <c r="X817" t="str">
        <f t="shared" si="138"/>
        <v>OK</v>
      </c>
      <c r="Y817">
        <f t="shared" si="132"/>
        <v>0.15</v>
      </c>
      <c r="Z817">
        <f t="shared" si="133"/>
        <v>1</v>
      </c>
      <c r="AA817">
        <f t="shared" si="139"/>
        <v>1128.7494999999994</v>
      </c>
      <c r="AB817">
        <f t="shared" si="140"/>
        <v>4259.0694999999996</v>
      </c>
      <c r="AC817">
        <f t="shared" si="141"/>
        <v>95</v>
      </c>
      <c r="AD817" t="str">
        <f t="shared" si="134"/>
        <v>East</v>
      </c>
      <c r="AE817" t="str">
        <f t="shared" si="142"/>
        <v>Clean</v>
      </c>
      <c r="AF817" t="str">
        <f t="shared" si="135"/>
        <v>Standard Class</v>
      </c>
    </row>
    <row r="818" spans="1:32">
      <c r="A818" t="s">
        <v>5713</v>
      </c>
      <c r="B818" s="4">
        <v>45623</v>
      </c>
      <c r="C818" s="4">
        <v>45626</v>
      </c>
      <c r="D818" t="s">
        <v>5714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  <c r="V818" t="str">
        <f t="shared" si="136"/>
        <v>November</v>
      </c>
      <c r="W818" t="str">
        <f t="shared" si="137"/>
        <v>OK</v>
      </c>
      <c r="X818" t="str">
        <f t="shared" si="138"/>
        <v>OK</v>
      </c>
      <c r="Y818">
        <f t="shared" si="132"/>
        <v>0.1</v>
      </c>
      <c r="Z818">
        <f t="shared" si="133"/>
        <v>1</v>
      </c>
      <c r="AA818">
        <f t="shared" si="139"/>
        <v>288.37</v>
      </c>
      <c r="AB818">
        <f t="shared" si="140"/>
        <v>786.87</v>
      </c>
      <c r="AC818">
        <f t="shared" si="141"/>
        <v>3</v>
      </c>
      <c r="AD818" t="str">
        <f t="shared" si="134"/>
        <v>East</v>
      </c>
      <c r="AE818" t="str">
        <f t="shared" si="142"/>
        <v>Clean</v>
      </c>
      <c r="AF818" t="str">
        <f t="shared" si="135"/>
        <v>First Class</v>
      </c>
    </row>
    <row r="819" spans="1:32">
      <c r="A819" t="s">
        <v>5715</v>
      </c>
      <c r="B819" s="4">
        <v>45781</v>
      </c>
      <c r="C819" s="4">
        <v>45781</v>
      </c>
      <c r="D819" t="s">
        <v>5716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  <c r="V819" t="str">
        <f t="shared" si="136"/>
        <v>May</v>
      </c>
      <c r="W819" s="5" t="str">
        <f t="shared" si="137"/>
        <v>Invalid</v>
      </c>
      <c r="X819" t="str">
        <f t="shared" si="138"/>
        <v>OK</v>
      </c>
      <c r="Y819">
        <f t="shared" si="132"/>
        <v>0.25</v>
      </c>
      <c r="Z819">
        <f t="shared" si="133"/>
        <v>1</v>
      </c>
      <c r="AA819">
        <f t="shared" si="139"/>
        <v>3519.8149999999996</v>
      </c>
      <c r="AB819">
        <f t="shared" si="140"/>
        <v>8233.6049999999996</v>
      </c>
      <c r="AC819">
        <f t="shared" si="141"/>
        <v>0</v>
      </c>
      <c r="AD819" t="str">
        <f t="shared" si="134"/>
        <v>East</v>
      </c>
      <c r="AE819" t="str">
        <f t="shared" si="142"/>
        <v>Clean</v>
      </c>
      <c r="AF819" t="str">
        <f t="shared" si="135"/>
        <v>Standard Class</v>
      </c>
    </row>
    <row r="820" spans="1:32">
      <c r="A820" t="s">
        <v>5717</v>
      </c>
      <c r="B820" s="4">
        <v>45564</v>
      </c>
      <c r="C820" s="4">
        <v>45570</v>
      </c>
      <c r="D820" t="s">
        <v>5718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  <c r="V820" t="str">
        <f t="shared" si="136"/>
        <v>October</v>
      </c>
      <c r="W820" t="str">
        <f t="shared" si="137"/>
        <v>OK</v>
      </c>
      <c r="X820" s="5" t="str">
        <f t="shared" si="138"/>
        <v>Negative Discount</v>
      </c>
      <c r="Y820">
        <f t="shared" si="132"/>
        <v>-0.14000000000000001</v>
      </c>
      <c r="Z820">
        <f t="shared" si="133"/>
        <v>1</v>
      </c>
      <c r="AA820">
        <f t="shared" si="139"/>
        <v>7978.4348000000009</v>
      </c>
      <c r="AB820">
        <f t="shared" si="140"/>
        <v>18067.084800000001</v>
      </c>
      <c r="AC820">
        <f t="shared" si="141"/>
        <v>6</v>
      </c>
      <c r="AD820" t="str">
        <f t="shared" si="134"/>
        <v>West</v>
      </c>
      <c r="AE820" t="str">
        <f t="shared" si="142"/>
        <v>Invalid</v>
      </c>
      <c r="AF820" t="str">
        <f t="shared" si="135"/>
        <v>First Class</v>
      </c>
    </row>
    <row r="821" spans="1:32">
      <c r="A821" t="s">
        <v>5719</v>
      </c>
      <c r="B821" s="4">
        <v>45504</v>
      </c>
      <c r="C821" s="4">
        <v>45504</v>
      </c>
      <c r="D821" t="s">
        <v>5720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382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  <c r="V821" t="str">
        <f t="shared" si="136"/>
        <v>July</v>
      </c>
      <c r="W821" s="5" t="str">
        <f t="shared" si="137"/>
        <v>Invalid</v>
      </c>
      <c r="X821" t="str">
        <f t="shared" si="138"/>
        <v>OK</v>
      </c>
      <c r="Y821">
        <f t="shared" si="132"/>
        <v>0</v>
      </c>
      <c r="Z821">
        <f t="shared" si="133"/>
        <v>1</v>
      </c>
      <c r="AA821">
        <f t="shared" si="139"/>
        <v>7065.6400000000031</v>
      </c>
      <c r="AB821">
        <f t="shared" si="140"/>
        <v>33968.080000000002</v>
      </c>
      <c r="AC821">
        <f t="shared" si="141"/>
        <v>0</v>
      </c>
      <c r="AD821" t="str">
        <f t="shared" si="134"/>
        <v>South</v>
      </c>
      <c r="AE821" t="str">
        <f t="shared" si="142"/>
        <v>Clean</v>
      </c>
      <c r="AF821" t="str">
        <f t="shared" si="135"/>
        <v>Standard Class</v>
      </c>
    </row>
    <row r="822" spans="1:32">
      <c r="A822" t="s">
        <v>5721</v>
      </c>
      <c r="B822" s="4">
        <v>45694</v>
      </c>
      <c r="C822" s="4">
        <v>45698</v>
      </c>
      <c r="D822" t="s">
        <v>5722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  <c r="V822" t="str">
        <f t="shared" si="136"/>
        <v>February</v>
      </c>
      <c r="W822" t="str">
        <f t="shared" si="137"/>
        <v>OK</v>
      </c>
      <c r="X822" t="str">
        <f t="shared" si="138"/>
        <v>OK</v>
      </c>
      <c r="Y822">
        <f t="shared" si="132"/>
        <v>0.2</v>
      </c>
      <c r="Z822">
        <f t="shared" si="133"/>
        <v>1</v>
      </c>
      <c r="AA822">
        <f t="shared" si="139"/>
        <v>74.882000000000005</v>
      </c>
      <c r="AB822">
        <f t="shared" si="140"/>
        <v>511.31200000000001</v>
      </c>
      <c r="AC822">
        <f t="shared" si="141"/>
        <v>4</v>
      </c>
      <c r="AD822" t="str">
        <f t="shared" si="134"/>
        <v>North</v>
      </c>
      <c r="AE822" t="str">
        <f t="shared" si="142"/>
        <v>Clean</v>
      </c>
      <c r="AF822" t="str">
        <f t="shared" si="135"/>
        <v>Standard Class</v>
      </c>
    </row>
    <row r="823" spans="1:32">
      <c r="A823" t="s">
        <v>5723</v>
      </c>
      <c r="B823" s="4">
        <v>45358</v>
      </c>
      <c r="C823" s="4">
        <v>45479</v>
      </c>
      <c r="D823" t="s">
        <v>5724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  <c r="V823" t="str">
        <f t="shared" si="136"/>
        <v>July</v>
      </c>
      <c r="W823" t="str">
        <f t="shared" si="137"/>
        <v>OK</v>
      </c>
      <c r="X823" t="str">
        <f t="shared" si="138"/>
        <v>OK</v>
      </c>
      <c r="Y823">
        <f t="shared" si="132"/>
        <v>0.2</v>
      </c>
      <c r="Z823">
        <f t="shared" si="133"/>
        <v>1</v>
      </c>
      <c r="AA823">
        <f t="shared" si="139"/>
        <v>1767.8040000000019</v>
      </c>
      <c r="AB823">
        <f t="shared" si="140"/>
        <v>10877.944000000001</v>
      </c>
      <c r="AC823">
        <f t="shared" si="141"/>
        <v>121</v>
      </c>
      <c r="AD823" t="str">
        <f t="shared" si="134"/>
        <v>South</v>
      </c>
      <c r="AE823" t="str">
        <f t="shared" si="142"/>
        <v>Clean</v>
      </c>
      <c r="AF823" t="str">
        <f t="shared" si="135"/>
        <v>First Class</v>
      </c>
    </row>
    <row r="824" spans="1:32">
      <c r="A824" t="s">
        <v>5725</v>
      </c>
      <c r="B824" s="4">
        <v>45636</v>
      </c>
      <c r="C824" s="4">
        <v>45573</v>
      </c>
      <c r="D824" t="s">
        <v>5726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  <c r="V824" t="str">
        <f t="shared" si="136"/>
        <v>October</v>
      </c>
      <c r="W824" s="5" t="str">
        <f t="shared" si="137"/>
        <v>Invalid</v>
      </c>
      <c r="X824" t="str">
        <f t="shared" si="138"/>
        <v>OK</v>
      </c>
      <c r="Y824">
        <f t="shared" si="132"/>
        <v>0.2</v>
      </c>
      <c r="Z824">
        <f t="shared" si="133"/>
        <v>1</v>
      </c>
      <c r="AA824">
        <f t="shared" si="139"/>
        <v>1612.1080000000002</v>
      </c>
      <c r="AB824">
        <f t="shared" si="140"/>
        <v>10246.528</v>
      </c>
      <c r="AC824" s="5">
        <f t="shared" si="141"/>
        <v>-63</v>
      </c>
      <c r="AD824" t="str">
        <f t="shared" si="134"/>
        <v>East</v>
      </c>
      <c r="AE824" t="str">
        <f t="shared" si="142"/>
        <v>Invalid</v>
      </c>
      <c r="AF824" t="str">
        <f t="shared" si="135"/>
        <v>Second Class</v>
      </c>
    </row>
    <row r="825" spans="1:32">
      <c r="A825" t="s">
        <v>5727</v>
      </c>
      <c r="B825" s="4">
        <v>45809</v>
      </c>
      <c r="C825" s="4">
        <v>45669</v>
      </c>
      <c r="D825" t="s">
        <v>5728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  <c r="V825" t="str">
        <f t="shared" si="136"/>
        <v>January</v>
      </c>
      <c r="W825" s="5" t="str">
        <f t="shared" si="137"/>
        <v>Invalid</v>
      </c>
      <c r="X825" t="str">
        <f t="shared" si="138"/>
        <v>OK</v>
      </c>
      <c r="Y825">
        <f t="shared" si="132"/>
        <v>0.15</v>
      </c>
      <c r="Z825">
        <f t="shared" si="133"/>
        <v>1</v>
      </c>
      <c r="AA825">
        <f t="shared" si="139"/>
        <v>746.69150000000013</v>
      </c>
      <c r="AB825">
        <f t="shared" si="140"/>
        <v>1704.2415000000001</v>
      </c>
      <c r="AC825" s="5">
        <f t="shared" si="141"/>
        <v>-140</v>
      </c>
      <c r="AD825" t="str">
        <f t="shared" si="134"/>
        <v>West</v>
      </c>
      <c r="AE825" t="str">
        <f t="shared" si="142"/>
        <v>Invalid</v>
      </c>
      <c r="AF825" t="str">
        <f t="shared" si="135"/>
        <v>Same Day</v>
      </c>
    </row>
    <row r="826" spans="1:32">
      <c r="A826" t="s">
        <v>5729</v>
      </c>
      <c r="B826" s="4">
        <v>45737</v>
      </c>
      <c r="C826" s="4">
        <v>45738</v>
      </c>
      <c r="D826" t="s">
        <v>5730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  <c r="V826" t="str">
        <f t="shared" si="136"/>
        <v>March</v>
      </c>
      <c r="W826" t="str">
        <f t="shared" si="137"/>
        <v>OK</v>
      </c>
      <c r="X826" t="str">
        <f t="shared" si="138"/>
        <v>OK</v>
      </c>
      <c r="Y826">
        <f t="shared" si="132"/>
        <v>0.05</v>
      </c>
      <c r="Z826">
        <f t="shared" si="133"/>
        <v>1</v>
      </c>
      <c r="AA826">
        <f t="shared" si="139"/>
        <v>4794.7939999999944</v>
      </c>
      <c r="AB826">
        <f t="shared" si="140"/>
        <v>33719.223999999995</v>
      </c>
      <c r="AC826">
        <f t="shared" si="141"/>
        <v>1</v>
      </c>
      <c r="AD826" t="str">
        <f t="shared" si="134"/>
        <v>West</v>
      </c>
      <c r="AE826" t="str">
        <f t="shared" si="142"/>
        <v>Clean</v>
      </c>
      <c r="AF826" t="str">
        <f t="shared" si="135"/>
        <v>First Class</v>
      </c>
    </row>
    <row r="827" spans="1:32">
      <c r="A827" t="s">
        <v>5731</v>
      </c>
      <c r="B827" s="4">
        <v>45763</v>
      </c>
      <c r="C827" s="4">
        <v>45764</v>
      </c>
      <c r="D827" t="s">
        <v>5732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  <c r="V827" t="str">
        <f t="shared" si="136"/>
        <v>April</v>
      </c>
      <c r="W827" t="str">
        <f t="shared" si="137"/>
        <v>OK</v>
      </c>
      <c r="X827" t="str">
        <f t="shared" si="138"/>
        <v>OK</v>
      </c>
      <c r="Y827">
        <f t="shared" si="132"/>
        <v>0</v>
      </c>
      <c r="Z827">
        <f t="shared" si="133"/>
        <v>1</v>
      </c>
      <c r="AA827">
        <f t="shared" si="139"/>
        <v>885.94</v>
      </c>
      <c r="AB827">
        <f t="shared" si="140"/>
        <v>2720.17</v>
      </c>
      <c r="AC827">
        <f t="shared" si="141"/>
        <v>1</v>
      </c>
      <c r="AD827" t="str">
        <f t="shared" si="134"/>
        <v>North</v>
      </c>
      <c r="AE827" t="str">
        <f t="shared" si="142"/>
        <v>Clean</v>
      </c>
      <c r="AF827" t="str">
        <f t="shared" si="135"/>
        <v>First Class</v>
      </c>
    </row>
    <row r="828" spans="1:32">
      <c r="A828" t="s">
        <v>5733</v>
      </c>
      <c r="B828" s="4">
        <v>45938</v>
      </c>
      <c r="C828" s="4">
        <v>45883</v>
      </c>
      <c r="D828" t="s">
        <v>5734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  <c r="V828" t="str">
        <f t="shared" si="136"/>
        <v>August</v>
      </c>
      <c r="W828" s="5" t="str">
        <f t="shared" si="137"/>
        <v>Invalid</v>
      </c>
      <c r="X828" t="str">
        <f t="shared" si="138"/>
        <v>OK</v>
      </c>
      <c r="Y828">
        <f t="shared" si="132"/>
        <v>0.25</v>
      </c>
      <c r="Z828">
        <f t="shared" si="133"/>
        <v>1</v>
      </c>
      <c r="AA828">
        <f t="shared" si="139"/>
        <v>2643.7249999999995</v>
      </c>
      <c r="AB828">
        <f t="shared" si="140"/>
        <v>8213.0249999999996</v>
      </c>
      <c r="AC828" s="5">
        <f t="shared" si="141"/>
        <v>-55</v>
      </c>
      <c r="AD828" t="str">
        <f t="shared" si="134"/>
        <v>West</v>
      </c>
      <c r="AE828" t="str">
        <f t="shared" si="142"/>
        <v>Invalid</v>
      </c>
      <c r="AF828" t="str">
        <f t="shared" si="135"/>
        <v>Standard Class</v>
      </c>
    </row>
    <row r="829" spans="1:32">
      <c r="A829" t="s">
        <v>5735</v>
      </c>
      <c r="B829" s="4">
        <v>45620</v>
      </c>
      <c r="C829" s="4">
        <v>45627</v>
      </c>
      <c r="D829" t="s">
        <v>5736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  <c r="V829" t="str">
        <f t="shared" si="136"/>
        <v>December</v>
      </c>
      <c r="W829" t="str">
        <f t="shared" si="137"/>
        <v>OK</v>
      </c>
      <c r="X829" t="str">
        <f t="shared" si="138"/>
        <v>OK</v>
      </c>
      <c r="Y829">
        <f t="shared" si="132"/>
        <v>0.25</v>
      </c>
      <c r="Z829">
        <f t="shared" si="133"/>
        <v>1</v>
      </c>
      <c r="AA829">
        <f t="shared" si="139"/>
        <v>113.19749999999999</v>
      </c>
      <c r="AB829">
        <f t="shared" si="140"/>
        <v>633.66750000000002</v>
      </c>
      <c r="AC829">
        <f t="shared" si="141"/>
        <v>7</v>
      </c>
      <c r="AD829" t="str">
        <f t="shared" si="134"/>
        <v>South</v>
      </c>
      <c r="AE829" t="str">
        <f t="shared" si="142"/>
        <v>Clean</v>
      </c>
      <c r="AF829" t="str">
        <f t="shared" si="135"/>
        <v>Same Day</v>
      </c>
    </row>
    <row r="830" spans="1:32">
      <c r="A830" t="s">
        <v>5737</v>
      </c>
      <c r="B830" s="4">
        <v>45940</v>
      </c>
      <c r="C830" s="4">
        <v>45941</v>
      </c>
      <c r="D830" t="s">
        <v>5738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  <c r="V830" t="str">
        <f t="shared" si="136"/>
        <v>October</v>
      </c>
      <c r="W830" t="str">
        <f t="shared" si="137"/>
        <v>OK</v>
      </c>
      <c r="X830" t="str">
        <f t="shared" si="138"/>
        <v>OK</v>
      </c>
      <c r="Y830">
        <f t="shared" si="132"/>
        <v>0.05</v>
      </c>
      <c r="Z830">
        <f t="shared" si="133"/>
        <v>1</v>
      </c>
      <c r="AA830">
        <f t="shared" si="139"/>
        <v>10999.593999999999</v>
      </c>
      <c r="AB830">
        <f t="shared" si="140"/>
        <v>25216.534</v>
      </c>
      <c r="AC830">
        <f t="shared" si="141"/>
        <v>1</v>
      </c>
      <c r="AD830" t="str">
        <f t="shared" si="134"/>
        <v>East</v>
      </c>
      <c r="AE830" t="str">
        <f t="shared" si="142"/>
        <v>Clean</v>
      </c>
      <c r="AF830" t="str">
        <f t="shared" si="135"/>
        <v>Second Class</v>
      </c>
    </row>
    <row r="831" spans="1:32">
      <c r="A831" t="s">
        <v>5739</v>
      </c>
      <c r="B831" s="4">
        <v>45348</v>
      </c>
      <c r="C831" s="4">
        <v>45350</v>
      </c>
      <c r="D831" t="s">
        <v>5740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  <c r="V831" t="str">
        <f t="shared" si="136"/>
        <v>February</v>
      </c>
      <c r="W831" t="str">
        <f t="shared" si="137"/>
        <v>OK</v>
      </c>
      <c r="X831" t="str">
        <f t="shared" si="138"/>
        <v>OK</v>
      </c>
      <c r="Y831">
        <f t="shared" si="132"/>
        <v>0.1</v>
      </c>
      <c r="Z831">
        <f t="shared" si="133"/>
        <v>1</v>
      </c>
      <c r="AA831">
        <f t="shared" si="139"/>
        <v>2010.2820000000002</v>
      </c>
      <c r="AB831">
        <f t="shared" si="140"/>
        <v>6521.3820000000005</v>
      </c>
      <c r="AC831">
        <f t="shared" si="141"/>
        <v>2</v>
      </c>
      <c r="AD831" t="str">
        <f t="shared" si="134"/>
        <v>West</v>
      </c>
      <c r="AE831" t="str">
        <f t="shared" si="142"/>
        <v>Clean</v>
      </c>
      <c r="AF831" t="str">
        <f t="shared" si="135"/>
        <v>Second Class</v>
      </c>
    </row>
    <row r="832" spans="1:32">
      <c r="A832" t="s">
        <v>5741</v>
      </c>
      <c r="B832" s="4">
        <v>45853</v>
      </c>
      <c r="C832" s="4">
        <v>45856</v>
      </c>
      <c r="D832" t="s">
        <v>5742</v>
      </c>
      <c r="E832" t="s">
        <v>107</v>
      </c>
      <c r="F832" t="s">
        <v>41</v>
      </c>
      <c r="G832" t="s">
        <v>4187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  <c r="V832" t="str">
        <f t="shared" si="136"/>
        <v>July</v>
      </c>
      <c r="W832" t="str">
        <f t="shared" si="137"/>
        <v>OK</v>
      </c>
      <c r="X832" t="str">
        <f t="shared" si="138"/>
        <v>OK</v>
      </c>
      <c r="Y832">
        <f t="shared" si="132"/>
        <v>0.1</v>
      </c>
      <c r="Z832">
        <f t="shared" si="133"/>
        <v>1</v>
      </c>
      <c r="AA832">
        <f t="shared" si="139"/>
        <v>2798.612000000001</v>
      </c>
      <c r="AB832">
        <f t="shared" si="140"/>
        <v>12867.552000000001</v>
      </c>
      <c r="AC832">
        <f t="shared" si="141"/>
        <v>3</v>
      </c>
      <c r="AD832" s="5" t="str">
        <f t="shared" si="134"/>
        <v>Unknown</v>
      </c>
      <c r="AE832" t="str">
        <f t="shared" si="142"/>
        <v>Clean</v>
      </c>
      <c r="AF832" t="str">
        <f t="shared" si="135"/>
        <v>First Class</v>
      </c>
    </row>
    <row r="833" spans="1:32">
      <c r="A833" t="s">
        <v>5743</v>
      </c>
      <c r="B833" s="4">
        <v>45720</v>
      </c>
      <c r="C833" s="4">
        <v>45750</v>
      </c>
      <c r="D833" t="s">
        <v>5744</v>
      </c>
      <c r="E833" t="s">
        <v>210</v>
      </c>
      <c r="F833" t="s">
        <v>115</v>
      </c>
      <c r="G833" t="s">
        <v>4187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  <c r="V833" t="str">
        <f t="shared" si="136"/>
        <v>April</v>
      </c>
      <c r="W833" t="str">
        <f t="shared" si="137"/>
        <v>OK</v>
      </c>
      <c r="X833" t="str">
        <f t="shared" si="138"/>
        <v>OK</v>
      </c>
      <c r="Y833">
        <f t="shared" si="132"/>
        <v>0.15</v>
      </c>
      <c r="Z833">
        <f t="shared" si="133"/>
        <v>1</v>
      </c>
      <c r="AA833">
        <f t="shared" si="139"/>
        <v>10671.195</v>
      </c>
      <c r="AB833">
        <f t="shared" si="140"/>
        <v>26489.654999999999</v>
      </c>
      <c r="AC833">
        <f t="shared" si="141"/>
        <v>30</v>
      </c>
      <c r="AD833" s="5" t="str">
        <f t="shared" si="134"/>
        <v>Unknown</v>
      </c>
      <c r="AE833" t="str">
        <f t="shared" si="142"/>
        <v>Clean</v>
      </c>
      <c r="AF833" t="str">
        <f t="shared" si="135"/>
        <v>First Class</v>
      </c>
    </row>
    <row r="834" spans="1:32">
      <c r="A834" t="s">
        <v>5745</v>
      </c>
      <c r="B834" s="4">
        <v>45803</v>
      </c>
      <c r="C834" s="4">
        <v>45805</v>
      </c>
      <c r="D834" t="s">
        <v>5746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  <c r="V834" t="str">
        <f t="shared" si="136"/>
        <v>May</v>
      </c>
      <c r="W834" t="str">
        <f t="shared" si="137"/>
        <v>OK</v>
      </c>
      <c r="X834" t="str">
        <f t="shared" si="138"/>
        <v>OK</v>
      </c>
      <c r="Y834">
        <f t="shared" ref="Y834:Y897" si="143">IF(P834 ="",0,P834)</f>
        <v>0.05</v>
      </c>
      <c r="Z834">
        <f t="shared" ref="Z834:Z897" si="144">COUNTIF(A:A,A834)</f>
        <v>1</v>
      </c>
      <c r="AA834">
        <f t="shared" si="139"/>
        <v>10879.461000000007</v>
      </c>
      <c r="AB834">
        <f t="shared" si="140"/>
        <v>36782.271000000008</v>
      </c>
      <c r="AC834">
        <f t="shared" si="141"/>
        <v>2</v>
      </c>
      <c r="AD834" t="str">
        <f t="shared" ref="AD834:AD897" si="145">IF(G834="","Unknown",G834)</f>
        <v>South</v>
      </c>
      <c r="AE834" t="str">
        <f t="shared" si="142"/>
        <v>Clean</v>
      </c>
      <c r="AF834" t="str">
        <f t="shared" ref="AF834:AF897" si="146">IF(M834="","Unknown",M834)</f>
        <v>Second Class</v>
      </c>
    </row>
    <row r="835" spans="1:32">
      <c r="A835" t="s">
        <v>5747</v>
      </c>
      <c r="B835" s="4">
        <v>45388</v>
      </c>
      <c r="C835" s="4">
        <v>45388</v>
      </c>
      <c r="D835" t="s">
        <v>5748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  <c r="V835" t="str">
        <f t="shared" ref="V835:V898" si="147">TEXT(C835,"MMMM")</f>
        <v>April</v>
      </c>
      <c r="W835" s="5" t="str">
        <f t="shared" ref="W835:W898" si="148">IF(B835&lt;C835,"OK","Invalid")</f>
        <v>Invalid</v>
      </c>
      <c r="X835" t="str">
        <f t="shared" ref="X835:X898" si="149">IF(P835&lt;0,"Negative Discount","OK")</f>
        <v>OK</v>
      </c>
      <c r="Y835">
        <f t="shared" si="143"/>
        <v>0</v>
      </c>
      <c r="Z835">
        <f t="shared" si="144"/>
        <v>1</v>
      </c>
      <c r="AA835">
        <f t="shared" ref="AA835:AA898" si="150">AB835-R835</f>
        <v>5586.630000000001</v>
      </c>
      <c r="AB835">
        <f t="shared" ref="AB835:AB898" si="151">N835*O835*(1-Y835)</f>
        <v>23696.400000000001</v>
      </c>
      <c r="AC835">
        <f t="shared" ref="AC835:AC898" si="152">C835-B835</f>
        <v>0</v>
      </c>
      <c r="AD835" t="str">
        <f t="shared" si="145"/>
        <v>East</v>
      </c>
      <c r="AE835" t="str">
        <f t="shared" ref="AE835:AE898" si="153">IF(OR(P835&lt;0,P835&gt;1,C835&lt;B835),"Invalid",IF(OR(G835="Unknown",M835="Unknown"),"Warning","Clean"))</f>
        <v>Clean</v>
      </c>
      <c r="AF835" t="str">
        <f t="shared" si="146"/>
        <v>First Class</v>
      </c>
    </row>
    <row r="836" spans="1:32">
      <c r="A836" t="s">
        <v>5749</v>
      </c>
      <c r="B836" s="4">
        <v>45583</v>
      </c>
      <c r="C836" s="4">
        <v>45587</v>
      </c>
      <c r="D836" t="s">
        <v>5750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  <c r="V836" t="str">
        <f t="shared" si="147"/>
        <v>October</v>
      </c>
      <c r="W836" t="str">
        <f t="shared" si="148"/>
        <v>OK</v>
      </c>
      <c r="X836" t="str">
        <f t="shared" si="149"/>
        <v>OK</v>
      </c>
      <c r="Y836">
        <f t="shared" si="143"/>
        <v>0</v>
      </c>
      <c r="Z836">
        <f t="shared" si="144"/>
        <v>1</v>
      </c>
      <c r="AA836">
        <f t="shared" si="150"/>
        <v>968.73</v>
      </c>
      <c r="AB836">
        <f t="shared" si="151"/>
        <v>4047.66</v>
      </c>
      <c r="AC836">
        <f t="shared" si="152"/>
        <v>4</v>
      </c>
      <c r="AD836" t="str">
        <f t="shared" si="145"/>
        <v>South</v>
      </c>
      <c r="AE836" t="str">
        <f t="shared" si="153"/>
        <v>Clean</v>
      </c>
      <c r="AF836" t="str">
        <f t="shared" si="146"/>
        <v>First Class</v>
      </c>
    </row>
    <row r="837" spans="1:32">
      <c r="A837" t="s">
        <v>5751</v>
      </c>
      <c r="B837" s="4">
        <v>45926</v>
      </c>
      <c r="C837" s="4">
        <v>45934</v>
      </c>
      <c r="D837" t="s">
        <v>5752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  <c r="V837" t="str">
        <f t="shared" si="147"/>
        <v>October</v>
      </c>
      <c r="W837" t="str">
        <f t="shared" si="148"/>
        <v>OK</v>
      </c>
      <c r="X837" t="str">
        <f t="shared" si="149"/>
        <v>OK</v>
      </c>
      <c r="Y837">
        <f t="shared" si="143"/>
        <v>0.05</v>
      </c>
      <c r="Z837">
        <f t="shared" si="144"/>
        <v>1</v>
      </c>
      <c r="AA837">
        <f t="shared" si="150"/>
        <v>4365.673499999999</v>
      </c>
      <c r="AB837">
        <f t="shared" si="151"/>
        <v>10038.773499999999</v>
      </c>
      <c r="AC837">
        <f t="shared" si="152"/>
        <v>8</v>
      </c>
      <c r="AD837" t="str">
        <f t="shared" si="145"/>
        <v>East</v>
      </c>
      <c r="AE837" t="str">
        <f t="shared" si="153"/>
        <v>Clean</v>
      </c>
      <c r="AF837" t="str">
        <f t="shared" si="146"/>
        <v>Second Class</v>
      </c>
    </row>
    <row r="838" spans="1:32">
      <c r="A838" t="s">
        <v>5753</v>
      </c>
      <c r="B838" s="4">
        <v>45641</v>
      </c>
      <c r="C838" s="4">
        <v>45644</v>
      </c>
      <c r="D838" t="s">
        <v>5754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  <c r="V838" t="str">
        <f t="shared" si="147"/>
        <v>December</v>
      </c>
      <c r="W838" t="str">
        <f t="shared" si="148"/>
        <v>OK</v>
      </c>
      <c r="X838" t="str">
        <f t="shared" si="149"/>
        <v>OK</v>
      </c>
      <c r="Y838">
        <f t="shared" si="143"/>
        <v>0</v>
      </c>
      <c r="Z838">
        <f t="shared" si="144"/>
        <v>1</v>
      </c>
      <c r="AA838">
        <f t="shared" si="150"/>
        <v>223.36</v>
      </c>
      <c r="AB838">
        <f t="shared" si="151"/>
        <v>1074.22</v>
      </c>
      <c r="AC838">
        <f t="shared" si="152"/>
        <v>3</v>
      </c>
      <c r="AD838" t="str">
        <f t="shared" si="145"/>
        <v>North</v>
      </c>
      <c r="AE838" t="str">
        <f t="shared" si="153"/>
        <v>Clean</v>
      </c>
      <c r="AF838" t="str">
        <f t="shared" si="146"/>
        <v>Second Class</v>
      </c>
    </row>
    <row r="839" spans="1:32">
      <c r="A839" t="s">
        <v>5755</v>
      </c>
      <c r="B839" s="4">
        <v>45927</v>
      </c>
      <c r="C839" s="4">
        <v>45928</v>
      </c>
      <c r="D839" t="s">
        <v>5756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  <c r="V839" t="str">
        <f t="shared" si="147"/>
        <v>September</v>
      </c>
      <c r="W839" t="str">
        <f t="shared" si="148"/>
        <v>OK</v>
      </c>
      <c r="X839" t="str">
        <f t="shared" si="149"/>
        <v>OK</v>
      </c>
      <c r="Y839">
        <f t="shared" si="143"/>
        <v>0.25</v>
      </c>
      <c r="Z839">
        <f t="shared" si="144"/>
        <v>1</v>
      </c>
      <c r="AA839">
        <f t="shared" si="150"/>
        <v>2859.2974999999997</v>
      </c>
      <c r="AB839">
        <f t="shared" si="151"/>
        <v>9399.6674999999996</v>
      </c>
      <c r="AC839">
        <f t="shared" si="152"/>
        <v>1</v>
      </c>
      <c r="AD839" t="str">
        <f t="shared" si="145"/>
        <v>West</v>
      </c>
      <c r="AE839" t="str">
        <f t="shared" si="153"/>
        <v>Clean</v>
      </c>
      <c r="AF839" t="str">
        <f t="shared" si="146"/>
        <v>First Class</v>
      </c>
    </row>
    <row r="840" spans="1:32">
      <c r="A840" t="s">
        <v>5757</v>
      </c>
      <c r="B840" s="4">
        <v>45720</v>
      </c>
      <c r="C840" s="4">
        <v>45754</v>
      </c>
      <c r="D840" t="s">
        <v>5758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  <c r="V840" t="str">
        <f t="shared" si="147"/>
        <v>April</v>
      </c>
      <c r="W840" t="str">
        <f t="shared" si="148"/>
        <v>OK</v>
      </c>
      <c r="X840" t="str">
        <f t="shared" si="149"/>
        <v>OK</v>
      </c>
      <c r="Y840">
        <f t="shared" si="143"/>
        <v>0</v>
      </c>
      <c r="Z840">
        <f t="shared" si="144"/>
        <v>1</v>
      </c>
      <c r="AA840">
        <f t="shared" si="150"/>
        <v>636.54999999999995</v>
      </c>
      <c r="AB840">
        <f t="shared" si="151"/>
        <v>1470.57</v>
      </c>
      <c r="AC840">
        <f t="shared" si="152"/>
        <v>34</v>
      </c>
      <c r="AD840" t="str">
        <f t="shared" si="145"/>
        <v>West</v>
      </c>
      <c r="AE840" t="str">
        <f t="shared" si="153"/>
        <v>Clean</v>
      </c>
      <c r="AF840" t="str">
        <f t="shared" si="146"/>
        <v>Same Day</v>
      </c>
    </row>
    <row r="841" spans="1:32">
      <c r="A841" t="s">
        <v>5759</v>
      </c>
      <c r="B841" s="4">
        <v>45555</v>
      </c>
      <c r="C841" s="4">
        <v>45557</v>
      </c>
      <c r="D841" t="s">
        <v>5760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  <c r="V841" t="str">
        <f t="shared" si="147"/>
        <v>September</v>
      </c>
      <c r="W841" t="str">
        <f t="shared" si="148"/>
        <v>OK</v>
      </c>
      <c r="X841" t="str">
        <f t="shared" si="149"/>
        <v>OK</v>
      </c>
      <c r="Y841">
        <f t="shared" si="143"/>
        <v>0.1</v>
      </c>
      <c r="Z841">
        <f t="shared" si="144"/>
        <v>1</v>
      </c>
      <c r="AA841">
        <f t="shared" si="150"/>
        <v>1632.1759999999999</v>
      </c>
      <c r="AB841">
        <f t="shared" si="151"/>
        <v>3826.2959999999998</v>
      </c>
      <c r="AC841">
        <f t="shared" si="152"/>
        <v>2</v>
      </c>
      <c r="AD841" t="str">
        <f t="shared" si="145"/>
        <v>East</v>
      </c>
      <c r="AE841" t="str">
        <f t="shared" si="153"/>
        <v>Clean</v>
      </c>
      <c r="AF841" t="str">
        <f t="shared" si="146"/>
        <v>Standard Class</v>
      </c>
    </row>
    <row r="842" spans="1:32">
      <c r="A842" t="s">
        <v>5761</v>
      </c>
      <c r="B842" s="4">
        <v>45919</v>
      </c>
      <c r="C842" s="4">
        <v>45919</v>
      </c>
      <c r="D842" t="s">
        <v>5762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  <c r="V842" t="str">
        <f t="shared" si="147"/>
        <v>September</v>
      </c>
      <c r="W842" s="5" t="str">
        <f t="shared" si="148"/>
        <v>Invalid</v>
      </c>
      <c r="X842" t="str">
        <f t="shared" si="149"/>
        <v>OK</v>
      </c>
      <c r="Y842">
        <f t="shared" si="143"/>
        <v>0</v>
      </c>
      <c r="Z842">
        <f t="shared" si="144"/>
        <v>1</v>
      </c>
      <c r="AA842">
        <f t="shared" si="150"/>
        <v>1655.7599999999993</v>
      </c>
      <c r="AB842">
        <f t="shared" si="151"/>
        <v>6336.44</v>
      </c>
      <c r="AC842">
        <f t="shared" si="152"/>
        <v>0</v>
      </c>
      <c r="AD842" t="str">
        <f t="shared" si="145"/>
        <v>North</v>
      </c>
      <c r="AE842" t="str">
        <f t="shared" si="153"/>
        <v>Clean</v>
      </c>
      <c r="AF842" t="str">
        <f t="shared" si="146"/>
        <v>Same Day</v>
      </c>
    </row>
    <row r="843" spans="1:32">
      <c r="A843" t="s">
        <v>5763</v>
      </c>
      <c r="B843" s="4">
        <v>45810</v>
      </c>
      <c r="C843" s="4">
        <v>45700</v>
      </c>
      <c r="D843" t="s">
        <v>5764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  <c r="V843" t="str">
        <f t="shared" si="147"/>
        <v>February</v>
      </c>
      <c r="W843" s="5" t="str">
        <f t="shared" si="148"/>
        <v>Invalid</v>
      </c>
      <c r="X843" t="str">
        <f t="shared" si="149"/>
        <v>OK</v>
      </c>
      <c r="Y843">
        <f t="shared" si="143"/>
        <v>0.25</v>
      </c>
      <c r="Z843">
        <f t="shared" si="144"/>
        <v>1</v>
      </c>
      <c r="AA843">
        <f t="shared" si="150"/>
        <v>5250.6999999999971</v>
      </c>
      <c r="AB843">
        <f t="shared" si="151"/>
        <v>21850.829999999998</v>
      </c>
      <c r="AC843" s="5">
        <f t="shared" si="152"/>
        <v>-110</v>
      </c>
      <c r="AD843" t="str">
        <f t="shared" si="145"/>
        <v>East</v>
      </c>
      <c r="AE843" t="str">
        <f t="shared" si="153"/>
        <v>Invalid</v>
      </c>
      <c r="AF843" t="str">
        <f t="shared" si="146"/>
        <v>Standard Class</v>
      </c>
    </row>
    <row r="844" spans="1:32">
      <c r="A844" t="s">
        <v>5765</v>
      </c>
      <c r="B844" s="4">
        <v>45382</v>
      </c>
      <c r="C844" s="4">
        <v>45381</v>
      </c>
      <c r="D844" t="s">
        <v>5766</v>
      </c>
      <c r="E844" t="s">
        <v>366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  <c r="V844" t="str">
        <f t="shared" si="147"/>
        <v>March</v>
      </c>
      <c r="W844" s="5" t="str">
        <f t="shared" si="148"/>
        <v>Invalid</v>
      </c>
      <c r="X844" t="str">
        <f t="shared" si="149"/>
        <v>OK</v>
      </c>
      <c r="Y844">
        <f t="shared" si="143"/>
        <v>0.15</v>
      </c>
      <c r="Z844">
        <f t="shared" si="144"/>
        <v>1</v>
      </c>
      <c r="AA844">
        <f t="shared" si="150"/>
        <v>2319.2919999999995</v>
      </c>
      <c r="AB844">
        <f t="shared" si="151"/>
        <v>7453.0719999999992</v>
      </c>
      <c r="AC844" s="5">
        <f t="shared" si="152"/>
        <v>-1</v>
      </c>
      <c r="AD844" t="str">
        <f t="shared" si="145"/>
        <v>North</v>
      </c>
      <c r="AE844" t="str">
        <f t="shared" si="153"/>
        <v>Invalid</v>
      </c>
      <c r="AF844" t="str">
        <f t="shared" si="146"/>
        <v>First Class</v>
      </c>
    </row>
    <row r="845" spans="1:32">
      <c r="A845" t="s">
        <v>5767</v>
      </c>
      <c r="B845" s="4">
        <v>45856</v>
      </c>
      <c r="C845" s="4">
        <v>45863</v>
      </c>
      <c r="D845" t="s">
        <v>5768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  <c r="V845" t="str">
        <f t="shared" si="147"/>
        <v>July</v>
      </c>
      <c r="W845" t="str">
        <f t="shared" si="148"/>
        <v>OK</v>
      </c>
      <c r="X845" s="5" t="str">
        <f t="shared" si="149"/>
        <v>Negative Discount</v>
      </c>
      <c r="Y845">
        <f t="shared" si="143"/>
        <v>-0.02</v>
      </c>
      <c r="Z845">
        <f t="shared" si="144"/>
        <v>1</v>
      </c>
      <c r="AA845">
        <f t="shared" si="150"/>
        <v>12707.693600000006</v>
      </c>
      <c r="AB845">
        <f t="shared" si="151"/>
        <v>36623.793600000005</v>
      </c>
      <c r="AC845">
        <f t="shared" si="152"/>
        <v>7</v>
      </c>
      <c r="AD845" t="str">
        <f t="shared" si="145"/>
        <v>North</v>
      </c>
      <c r="AE845" t="str">
        <f t="shared" si="153"/>
        <v>Invalid</v>
      </c>
      <c r="AF845" t="str">
        <f t="shared" si="146"/>
        <v>First Class</v>
      </c>
    </row>
    <row r="846" spans="1:32">
      <c r="A846" t="s">
        <v>5769</v>
      </c>
      <c r="B846" s="4">
        <v>45677</v>
      </c>
      <c r="C846" s="4">
        <v>45682</v>
      </c>
      <c r="D846" t="s">
        <v>5770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  <c r="V846" t="str">
        <f t="shared" si="147"/>
        <v>January</v>
      </c>
      <c r="W846" t="str">
        <f t="shared" si="148"/>
        <v>OK</v>
      </c>
      <c r="X846" t="str">
        <f t="shared" si="149"/>
        <v>OK</v>
      </c>
      <c r="Y846">
        <f t="shared" si="143"/>
        <v>0</v>
      </c>
      <c r="Z846">
        <f t="shared" si="144"/>
        <v>1</v>
      </c>
      <c r="AA846">
        <f t="shared" si="150"/>
        <v>1298.81</v>
      </c>
      <c r="AB846">
        <f t="shared" si="151"/>
        <v>3515.15</v>
      </c>
      <c r="AC846">
        <f t="shared" si="152"/>
        <v>5</v>
      </c>
      <c r="AD846" t="str">
        <f t="shared" si="145"/>
        <v>West</v>
      </c>
      <c r="AE846" t="str">
        <f t="shared" si="153"/>
        <v>Clean</v>
      </c>
      <c r="AF846" t="str">
        <f t="shared" si="146"/>
        <v>First Class</v>
      </c>
    </row>
    <row r="847" spans="1:32">
      <c r="A847" t="s">
        <v>5771</v>
      </c>
      <c r="B847" s="4">
        <v>45345</v>
      </c>
      <c r="C847" s="4">
        <v>45349</v>
      </c>
      <c r="D847" t="s">
        <v>4439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  <c r="V847" t="str">
        <f t="shared" si="147"/>
        <v>February</v>
      </c>
      <c r="W847" t="str">
        <f t="shared" si="148"/>
        <v>OK</v>
      </c>
      <c r="X847" t="str">
        <f t="shared" si="149"/>
        <v>OK</v>
      </c>
      <c r="Y847">
        <f t="shared" si="143"/>
        <v>0.25</v>
      </c>
      <c r="Z847">
        <f t="shared" si="144"/>
        <v>1</v>
      </c>
      <c r="AA847">
        <f t="shared" si="150"/>
        <v>7251.9724999999962</v>
      </c>
      <c r="AB847">
        <f t="shared" si="151"/>
        <v>24409.552499999998</v>
      </c>
      <c r="AC847">
        <f t="shared" si="152"/>
        <v>4</v>
      </c>
      <c r="AD847" t="str">
        <f t="shared" si="145"/>
        <v>East</v>
      </c>
      <c r="AE847" t="str">
        <f t="shared" si="153"/>
        <v>Clean</v>
      </c>
      <c r="AF847" t="str">
        <f t="shared" si="146"/>
        <v>First Class</v>
      </c>
    </row>
    <row r="848" spans="1:32">
      <c r="A848" t="s">
        <v>5772</v>
      </c>
      <c r="B848" s="4">
        <v>45396</v>
      </c>
      <c r="C848" s="4">
        <v>45404</v>
      </c>
      <c r="D848" t="s">
        <v>5773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  <c r="V848" t="str">
        <f t="shared" si="147"/>
        <v>April</v>
      </c>
      <c r="W848" t="str">
        <f t="shared" si="148"/>
        <v>OK</v>
      </c>
      <c r="X848" t="str">
        <f t="shared" si="149"/>
        <v>OK</v>
      </c>
      <c r="Y848">
        <f t="shared" si="143"/>
        <v>0</v>
      </c>
      <c r="Z848">
        <f t="shared" si="144"/>
        <v>1</v>
      </c>
      <c r="AA848">
        <f t="shared" si="150"/>
        <v>2374.3599999999997</v>
      </c>
      <c r="AB848">
        <f t="shared" si="151"/>
        <v>7955.04</v>
      </c>
      <c r="AC848">
        <f t="shared" si="152"/>
        <v>8</v>
      </c>
      <c r="AD848" t="str">
        <f t="shared" si="145"/>
        <v>West</v>
      </c>
      <c r="AE848" t="str">
        <f t="shared" si="153"/>
        <v>Clean</v>
      </c>
      <c r="AF848" t="str">
        <f t="shared" si="146"/>
        <v>Standard Class</v>
      </c>
    </row>
    <row r="849" spans="1:32">
      <c r="A849" t="s">
        <v>5774</v>
      </c>
      <c r="B849" s="4">
        <v>45797</v>
      </c>
      <c r="C849" s="4">
        <v>45799</v>
      </c>
      <c r="D849" t="s">
        <v>5775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  <c r="V849" t="str">
        <f t="shared" si="147"/>
        <v>May</v>
      </c>
      <c r="W849" t="str">
        <f t="shared" si="148"/>
        <v>OK</v>
      </c>
      <c r="X849" t="str">
        <f t="shared" si="149"/>
        <v>OK</v>
      </c>
      <c r="Y849">
        <f t="shared" si="143"/>
        <v>0.2</v>
      </c>
      <c r="Z849">
        <f t="shared" si="144"/>
        <v>1</v>
      </c>
      <c r="AA849">
        <f t="shared" si="150"/>
        <v>93.938000000000045</v>
      </c>
      <c r="AB849">
        <f t="shared" si="151"/>
        <v>336.12800000000004</v>
      </c>
      <c r="AC849">
        <f t="shared" si="152"/>
        <v>2</v>
      </c>
      <c r="AD849" t="str">
        <f t="shared" si="145"/>
        <v>East</v>
      </c>
      <c r="AE849" t="str">
        <f t="shared" si="153"/>
        <v>Clean</v>
      </c>
      <c r="AF849" t="str">
        <f t="shared" si="146"/>
        <v>Second Class</v>
      </c>
    </row>
    <row r="850" spans="1:32">
      <c r="A850" t="s">
        <v>5776</v>
      </c>
      <c r="B850" s="4">
        <v>45804</v>
      </c>
      <c r="C850" s="4">
        <v>45806</v>
      </c>
      <c r="D850" t="s">
        <v>5777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  <c r="V850" t="str">
        <f t="shared" si="147"/>
        <v>May</v>
      </c>
      <c r="W850" t="str">
        <f t="shared" si="148"/>
        <v>OK</v>
      </c>
      <c r="X850" t="str">
        <f t="shared" si="149"/>
        <v>OK</v>
      </c>
      <c r="Y850">
        <f t="shared" si="143"/>
        <v>0.25</v>
      </c>
      <c r="Z850">
        <f t="shared" si="144"/>
        <v>1</v>
      </c>
      <c r="AA850">
        <f t="shared" si="150"/>
        <v>224.70249999999987</v>
      </c>
      <c r="AB850">
        <f t="shared" si="151"/>
        <v>1308.2624999999998</v>
      </c>
      <c r="AC850">
        <f t="shared" si="152"/>
        <v>2</v>
      </c>
      <c r="AD850" t="str">
        <f t="shared" si="145"/>
        <v>South</v>
      </c>
      <c r="AE850" t="str">
        <f t="shared" si="153"/>
        <v>Clean</v>
      </c>
      <c r="AF850" t="str">
        <f t="shared" si="146"/>
        <v>Second Class</v>
      </c>
    </row>
    <row r="851" spans="1:32">
      <c r="A851" t="s">
        <v>5778</v>
      </c>
      <c r="B851" s="4">
        <v>45446</v>
      </c>
      <c r="C851" s="4">
        <v>45363</v>
      </c>
      <c r="D851" t="s">
        <v>5779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  <c r="V851" t="str">
        <f t="shared" si="147"/>
        <v>March</v>
      </c>
      <c r="W851" s="5" t="str">
        <f t="shared" si="148"/>
        <v>Invalid</v>
      </c>
      <c r="X851" t="str">
        <f t="shared" si="149"/>
        <v>OK</v>
      </c>
      <c r="Y851">
        <f t="shared" si="143"/>
        <v>0.2</v>
      </c>
      <c r="Z851">
        <f t="shared" si="144"/>
        <v>1</v>
      </c>
      <c r="AA851">
        <f t="shared" si="150"/>
        <v>732.38200000000006</v>
      </c>
      <c r="AB851">
        <f t="shared" si="151"/>
        <v>1631.1120000000001</v>
      </c>
      <c r="AC851" s="5">
        <f t="shared" si="152"/>
        <v>-83</v>
      </c>
      <c r="AD851" t="str">
        <f t="shared" si="145"/>
        <v>West</v>
      </c>
      <c r="AE851" t="str">
        <f t="shared" si="153"/>
        <v>Invalid</v>
      </c>
      <c r="AF851" t="str">
        <f t="shared" si="146"/>
        <v>Standard Class</v>
      </c>
    </row>
    <row r="852" spans="1:32">
      <c r="A852" t="s">
        <v>5780</v>
      </c>
      <c r="B852" s="4">
        <v>45473</v>
      </c>
      <c r="C852" s="4">
        <v>45476</v>
      </c>
      <c r="D852" t="s">
        <v>5781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  <c r="V852" t="str">
        <f t="shared" si="147"/>
        <v>July</v>
      </c>
      <c r="W852" t="str">
        <f t="shared" si="148"/>
        <v>OK</v>
      </c>
      <c r="X852" t="str">
        <f t="shared" si="149"/>
        <v>OK</v>
      </c>
      <c r="Y852">
        <f t="shared" si="143"/>
        <v>0</v>
      </c>
      <c r="Z852">
        <f t="shared" si="144"/>
        <v>1</v>
      </c>
      <c r="AA852">
        <f t="shared" si="150"/>
        <v>1049.1699999999992</v>
      </c>
      <c r="AB852">
        <f t="shared" si="151"/>
        <v>7266.0599999999995</v>
      </c>
      <c r="AC852">
        <f t="shared" si="152"/>
        <v>3</v>
      </c>
      <c r="AD852" t="str">
        <f t="shared" si="145"/>
        <v>East</v>
      </c>
      <c r="AE852" t="str">
        <f t="shared" si="153"/>
        <v>Clean</v>
      </c>
      <c r="AF852" t="str">
        <f t="shared" si="146"/>
        <v>First Class</v>
      </c>
    </row>
    <row r="853" spans="1:32">
      <c r="A853" t="s">
        <v>5782</v>
      </c>
      <c r="B853" s="4">
        <v>45377</v>
      </c>
      <c r="C853" s="4">
        <v>45383</v>
      </c>
      <c r="D853" t="s">
        <v>5783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  <c r="V853" t="str">
        <f t="shared" si="147"/>
        <v>April</v>
      </c>
      <c r="W853" t="str">
        <f t="shared" si="148"/>
        <v>OK</v>
      </c>
      <c r="X853" t="str">
        <f t="shared" si="149"/>
        <v>OK</v>
      </c>
      <c r="Y853">
        <f t="shared" si="143"/>
        <v>0.2</v>
      </c>
      <c r="Z853">
        <f t="shared" si="144"/>
        <v>1</v>
      </c>
      <c r="AA853">
        <f t="shared" si="150"/>
        <v>267.32999999999993</v>
      </c>
      <c r="AB853">
        <f t="shared" si="151"/>
        <v>1858.08</v>
      </c>
      <c r="AC853">
        <f t="shared" si="152"/>
        <v>6</v>
      </c>
      <c r="AD853" t="str">
        <f t="shared" si="145"/>
        <v>West</v>
      </c>
      <c r="AE853" t="str">
        <f t="shared" si="153"/>
        <v>Clean</v>
      </c>
      <c r="AF853" t="str">
        <f t="shared" si="146"/>
        <v>First Class</v>
      </c>
    </row>
    <row r="854" spans="1:32">
      <c r="A854" t="s">
        <v>5784</v>
      </c>
      <c r="B854" s="4">
        <v>45383</v>
      </c>
      <c r="C854" s="4">
        <v>45390</v>
      </c>
      <c r="D854" t="s">
        <v>5785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  <c r="V854" t="str">
        <f t="shared" si="147"/>
        <v>April</v>
      </c>
      <c r="W854" t="str">
        <f t="shared" si="148"/>
        <v>OK</v>
      </c>
      <c r="X854" t="str">
        <f t="shared" si="149"/>
        <v>OK</v>
      </c>
      <c r="Y854">
        <f t="shared" si="143"/>
        <v>0.15</v>
      </c>
      <c r="Z854">
        <f t="shared" si="144"/>
        <v>1</v>
      </c>
      <c r="AA854">
        <f t="shared" si="150"/>
        <v>9477.3925000000036</v>
      </c>
      <c r="AB854">
        <f t="shared" si="151"/>
        <v>25021.832500000004</v>
      </c>
      <c r="AC854">
        <f t="shared" si="152"/>
        <v>7</v>
      </c>
      <c r="AD854" t="str">
        <f t="shared" si="145"/>
        <v>East</v>
      </c>
      <c r="AE854" t="str">
        <f t="shared" si="153"/>
        <v>Clean</v>
      </c>
      <c r="AF854" t="str">
        <f t="shared" si="146"/>
        <v>Second Class</v>
      </c>
    </row>
    <row r="855" spans="1:32">
      <c r="A855" t="s">
        <v>5786</v>
      </c>
      <c r="B855" s="4">
        <v>45793</v>
      </c>
      <c r="C855" s="4">
        <v>45799</v>
      </c>
      <c r="D855" t="s">
        <v>5787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  <c r="V855" t="str">
        <f t="shared" si="147"/>
        <v>May</v>
      </c>
      <c r="W855" t="str">
        <f t="shared" si="148"/>
        <v>OK</v>
      </c>
      <c r="X855" t="str">
        <f t="shared" si="149"/>
        <v>OK</v>
      </c>
      <c r="Y855">
        <f t="shared" si="143"/>
        <v>0.2</v>
      </c>
      <c r="Z855">
        <f t="shared" si="144"/>
        <v>1</v>
      </c>
      <c r="AA855">
        <f t="shared" si="150"/>
        <v>595.42999999999984</v>
      </c>
      <c r="AB855">
        <f t="shared" si="151"/>
        <v>3710.72</v>
      </c>
      <c r="AC855">
        <f t="shared" si="152"/>
        <v>6</v>
      </c>
      <c r="AD855" t="str">
        <f t="shared" si="145"/>
        <v>South</v>
      </c>
      <c r="AE855" t="str">
        <f t="shared" si="153"/>
        <v>Clean</v>
      </c>
      <c r="AF855" t="str">
        <f t="shared" si="146"/>
        <v>Same Day</v>
      </c>
    </row>
    <row r="856" spans="1:32">
      <c r="A856" t="s">
        <v>5788</v>
      </c>
      <c r="B856" s="4">
        <v>45741</v>
      </c>
      <c r="C856" s="4">
        <v>45692</v>
      </c>
      <c r="D856" t="s">
        <v>5789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  <c r="V856" t="str">
        <f t="shared" si="147"/>
        <v>February</v>
      </c>
      <c r="W856" s="5" t="str">
        <f t="shared" si="148"/>
        <v>Invalid</v>
      </c>
      <c r="X856" t="str">
        <f t="shared" si="149"/>
        <v>OK</v>
      </c>
      <c r="Y856">
        <f t="shared" si="143"/>
        <v>0.05</v>
      </c>
      <c r="Z856">
        <f t="shared" si="144"/>
        <v>1</v>
      </c>
      <c r="AA856">
        <f t="shared" si="150"/>
        <v>3242.1119999999983</v>
      </c>
      <c r="AB856">
        <f t="shared" si="151"/>
        <v>8487.8319999999985</v>
      </c>
      <c r="AC856" s="5">
        <f t="shared" si="152"/>
        <v>-49</v>
      </c>
      <c r="AD856" t="str">
        <f t="shared" si="145"/>
        <v>South</v>
      </c>
      <c r="AE856" t="str">
        <f t="shared" si="153"/>
        <v>Invalid</v>
      </c>
      <c r="AF856" t="str">
        <f t="shared" si="146"/>
        <v>Second Class</v>
      </c>
    </row>
    <row r="857" spans="1:32">
      <c r="A857" t="s">
        <v>5790</v>
      </c>
      <c r="B857" s="4">
        <v>45498</v>
      </c>
      <c r="C857" s="4">
        <v>45506</v>
      </c>
      <c r="D857" t="s">
        <v>4790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109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  <c r="V857" t="str">
        <f t="shared" si="147"/>
        <v>August</v>
      </c>
      <c r="W857" t="str">
        <f t="shared" si="148"/>
        <v>OK</v>
      </c>
      <c r="X857" t="str">
        <f t="shared" si="149"/>
        <v>OK</v>
      </c>
      <c r="Y857">
        <f t="shared" si="143"/>
        <v>0.25</v>
      </c>
      <c r="Z857">
        <f t="shared" si="144"/>
        <v>1</v>
      </c>
      <c r="AA857">
        <f t="shared" si="150"/>
        <v>1009.2649999999999</v>
      </c>
      <c r="AB857">
        <f t="shared" si="151"/>
        <v>3110.2950000000001</v>
      </c>
      <c r="AC857">
        <f t="shared" si="152"/>
        <v>8</v>
      </c>
      <c r="AD857" t="str">
        <f t="shared" si="145"/>
        <v>North</v>
      </c>
      <c r="AE857" t="str">
        <f t="shared" si="153"/>
        <v>Clean</v>
      </c>
      <c r="AF857" t="str">
        <f t="shared" si="146"/>
        <v>Second Class</v>
      </c>
    </row>
    <row r="858" spans="1:32">
      <c r="A858" t="s">
        <v>5791</v>
      </c>
      <c r="B858" s="4">
        <v>45632</v>
      </c>
      <c r="C858" s="4">
        <v>45462</v>
      </c>
      <c r="D858" t="s">
        <v>4908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  <c r="V858" t="str">
        <f t="shared" si="147"/>
        <v>June</v>
      </c>
      <c r="W858" s="5" t="str">
        <f t="shared" si="148"/>
        <v>Invalid</v>
      </c>
      <c r="X858" s="5" t="str">
        <f t="shared" si="149"/>
        <v>Negative Discount</v>
      </c>
      <c r="Y858">
        <f t="shared" si="143"/>
        <v>-0.16</v>
      </c>
      <c r="Z858">
        <f t="shared" si="144"/>
        <v>1</v>
      </c>
      <c r="AA858">
        <f t="shared" si="150"/>
        <v>866.71399999999994</v>
      </c>
      <c r="AB858">
        <f t="shared" si="151"/>
        <v>1833.2639999999999</v>
      </c>
      <c r="AC858" s="5">
        <f t="shared" si="152"/>
        <v>-170</v>
      </c>
      <c r="AD858" t="str">
        <f t="shared" si="145"/>
        <v>South</v>
      </c>
      <c r="AE858" t="str">
        <f t="shared" si="153"/>
        <v>Invalid</v>
      </c>
      <c r="AF858" t="str">
        <f t="shared" si="146"/>
        <v>Standard Class</v>
      </c>
    </row>
    <row r="859" spans="1:32">
      <c r="A859" t="s">
        <v>5792</v>
      </c>
      <c r="B859" s="4">
        <v>45388</v>
      </c>
      <c r="C859" s="4">
        <v>45447</v>
      </c>
      <c r="D859" t="s">
        <v>5467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  <c r="V859" t="str">
        <f t="shared" si="147"/>
        <v>June</v>
      </c>
      <c r="W859" t="str">
        <f t="shared" si="148"/>
        <v>OK</v>
      </c>
      <c r="X859" t="str">
        <f t="shared" si="149"/>
        <v>OK</v>
      </c>
      <c r="Y859">
        <f t="shared" si="143"/>
        <v>0.25</v>
      </c>
      <c r="Z859">
        <f t="shared" si="144"/>
        <v>1</v>
      </c>
      <c r="AA859">
        <f t="shared" si="150"/>
        <v>2013.375</v>
      </c>
      <c r="AB859">
        <f t="shared" si="151"/>
        <v>12190.365</v>
      </c>
      <c r="AC859">
        <f t="shared" si="152"/>
        <v>59</v>
      </c>
      <c r="AD859" t="str">
        <f t="shared" si="145"/>
        <v>South</v>
      </c>
      <c r="AE859" t="str">
        <f t="shared" si="153"/>
        <v>Clean</v>
      </c>
      <c r="AF859" t="str">
        <f t="shared" si="146"/>
        <v>First Class</v>
      </c>
    </row>
    <row r="860" spans="1:32">
      <c r="A860" t="s">
        <v>5793</v>
      </c>
      <c r="B860" s="4">
        <v>45327</v>
      </c>
      <c r="C860" s="4">
        <v>45421</v>
      </c>
      <c r="D860" t="s">
        <v>5794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  <c r="V860" t="str">
        <f t="shared" si="147"/>
        <v>May</v>
      </c>
      <c r="W860" t="str">
        <f t="shared" si="148"/>
        <v>OK</v>
      </c>
      <c r="X860" t="str">
        <f t="shared" si="149"/>
        <v>OK</v>
      </c>
      <c r="Y860">
        <f t="shared" si="143"/>
        <v>0</v>
      </c>
      <c r="Z860">
        <f t="shared" si="144"/>
        <v>1</v>
      </c>
      <c r="AA860">
        <f t="shared" si="150"/>
        <v>4435.1200000000008</v>
      </c>
      <c r="AB860">
        <f t="shared" si="151"/>
        <v>11619.44</v>
      </c>
      <c r="AC860">
        <f t="shared" si="152"/>
        <v>94</v>
      </c>
      <c r="AD860" t="str">
        <f t="shared" si="145"/>
        <v>East</v>
      </c>
      <c r="AE860" t="str">
        <f t="shared" si="153"/>
        <v>Clean</v>
      </c>
      <c r="AF860" t="str">
        <f t="shared" si="146"/>
        <v>Second Class</v>
      </c>
    </row>
    <row r="861" spans="1:32">
      <c r="A861" t="s">
        <v>5795</v>
      </c>
      <c r="B861" s="4">
        <v>45592</v>
      </c>
      <c r="C861" s="4">
        <v>45597</v>
      </c>
      <c r="D861" t="s">
        <v>5796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  <c r="V861" t="str">
        <f t="shared" si="147"/>
        <v>November</v>
      </c>
      <c r="W861" t="str">
        <f t="shared" si="148"/>
        <v>OK</v>
      </c>
      <c r="X861" t="str">
        <f t="shared" si="149"/>
        <v>OK</v>
      </c>
      <c r="Y861">
        <f t="shared" si="143"/>
        <v>0.05</v>
      </c>
      <c r="Z861">
        <f t="shared" si="144"/>
        <v>1</v>
      </c>
      <c r="AA861">
        <f t="shared" si="150"/>
        <v>8792.6999999999953</v>
      </c>
      <c r="AB861">
        <f t="shared" si="151"/>
        <v>25075.439999999995</v>
      </c>
      <c r="AC861">
        <f t="shared" si="152"/>
        <v>5</v>
      </c>
      <c r="AD861" t="str">
        <f t="shared" si="145"/>
        <v>South</v>
      </c>
      <c r="AE861" t="str">
        <f t="shared" si="153"/>
        <v>Clean</v>
      </c>
      <c r="AF861" t="str">
        <f t="shared" si="146"/>
        <v>Standard Class</v>
      </c>
    </row>
    <row r="862" spans="1:32">
      <c r="A862" t="s">
        <v>5797</v>
      </c>
      <c r="B862" s="4">
        <v>45324</v>
      </c>
      <c r="C862" s="4">
        <v>45326</v>
      </c>
      <c r="D862" t="s">
        <v>5798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  <c r="V862" t="str">
        <f t="shared" si="147"/>
        <v>February</v>
      </c>
      <c r="W862" t="str">
        <f t="shared" si="148"/>
        <v>OK</v>
      </c>
      <c r="X862" t="str">
        <f t="shared" si="149"/>
        <v>OK</v>
      </c>
      <c r="Y862">
        <f t="shared" si="143"/>
        <v>0.05</v>
      </c>
      <c r="Z862">
        <f t="shared" si="144"/>
        <v>1</v>
      </c>
      <c r="AA862">
        <f t="shared" si="150"/>
        <v>1877.9539999999997</v>
      </c>
      <c r="AB862">
        <f t="shared" si="151"/>
        <v>4177.4539999999997</v>
      </c>
      <c r="AC862">
        <f t="shared" si="152"/>
        <v>2</v>
      </c>
      <c r="AD862" t="str">
        <f t="shared" si="145"/>
        <v>North</v>
      </c>
      <c r="AE862" t="str">
        <f t="shared" si="153"/>
        <v>Clean</v>
      </c>
      <c r="AF862" t="str">
        <f t="shared" si="146"/>
        <v>Second Class</v>
      </c>
    </row>
    <row r="863" spans="1:32">
      <c r="A863" t="s">
        <v>5799</v>
      </c>
      <c r="B863" s="4">
        <v>45872</v>
      </c>
      <c r="C863" s="4">
        <v>45725</v>
      </c>
      <c r="D863" t="s">
        <v>5800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  <c r="V863" t="str">
        <f t="shared" si="147"/>
        <v>March</v>
      </c>
      <c r="W863" s="5" t="str">
        <f t="shared" si="148"/>
        <v>Invalid</v>
      </c>
      <c r="X863" t="str">
        <f t="shared" si="149"/>
        <v>OK</v>
      </c>
      <c r="Y863">
        <f t="shared" si="143"/>
        <v>0.2</v>
      </c>
      <c r="Z863">
        <f t="shared" si="144"/>
        <v>1</v>
      </c>
      <c r="AA863">
        <f t="shared" si="150"/>
        <v>4666.7659999999996</v>
      </c>
      <c r="AB863">
        <f t="shared" si="151"/>
        <v>10898.175999999999</v>
      </c>
      <c r="AC863" s="5">
        <f t="shared" si="152"/>
        <v>-147</v>
      </c>
      <c r="AD863" t="str">
        <f t="shared" si="145"/>
        <v>North</v>
      </c>
      <c r="AE863" t="str">
        <f t="shared" si="153"/>
        <v>Invalid</v>
      </c>
      <c r="AF863" t="str">
        <f t="shared" si="146"/>
        <v>Same Day</v>
      </c>
    </row>
    <row r="864" spans="1:32">
      <c r="A864" t="s">
        <v>5801</v>
      </c>
      <c r="B864" s="4">
        <v>45742</v>
      </c>
      <c r="C864" s="4">
        <v>45747</v>
      </c>
      <c r="D864" t="s">
        <v>5802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  <c r="V864" t="str">
        <f t="shared" si="147"/>
        <v>March</v>
      </c>
      <c r="W864" t="str">
        <f t="shared" si="148"/>
        <v>OK</v>
      </c>
      <c r="X864" t="str">
        <f t="shared" si="149"/>
        <v>OK</v>
      </c>
      <c r="Y864">
        <f t="shared" si="143"/>
        <v>0</v>
      </c>
      <c r="Z864">
        <f t="shared" si="144"/>
        <v>1</v>
      </c>
      <c r="AA864">
        <f t="shared" si="150"/>
        <v>2177.8200000000006</v>
      </c>
      <c r="AB864">
        <f t="shared" si="151"/>
        <v>6975.7000000000007</v>
      </c>
      <c r="AC864">
        <f t="shared" si="152"/>
        <v>5</v>
      </c>
      <c r="AD864" t="str">
        <f t="shared" si="145"/>
        <v>East</v>
      </c>
      <c r="AE864" t="str">
        <f t="shared" si="153"/>
        <v>Clean</v>
      </c>
      <c r="AF864" t="str">
        <f t="shared" si="146"/>
        <v>First Class</v>
      </c>
    </row>
    <row r="865" spans="1:32">
      <c r="A865" t="s">
        <v>5803</v>
      </c>
      <c r="B865" s="4">
        <v>45817</v>
      </c>
      <c r="C865" s="4">
        <v>45878</v>
      </c>
      <c r="D865" t="s">
        <v>5804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  <c r="V865" t="str">
        <f t="shared" si="147"/>
        <v>August</v>
      </c>
      <c r="W865" t="str">
        <f t="shared" si="148"/>
        <v>OK</v>
      </c>
      <c r="X865" t="str">
        <f t="shared" si="149"/>
        <v>OK</v>
      </c>
      <c r="Y865">
        <f t="shared" si="143"/>
        <v>0</v>
      </c>
      <c r="Z865">
        <f t="shared" si="144"/>
        <v>1</v>
      </c>
      <c r="AA865">
        <f t="shared" si="150"/>
        <v>2045.7800000000007</v>
      </c>
      <c r="AB865">
        <f t="shared" si="151"/>
        <v>8811.69</v>
      </c>
      <c r="AC865">
        <f t="shared" si="152"/>
        <v>61</v>
      </c>
      <c r="AD865" t="str">
        <f t="shared" si="145"/>
        <v>West</v>
      </c>
      <c r="AE865" t="str">
        <f t="shared" si="153"/>
        <v>Clean</v>
      </c>
      <c r="AF865" t="str">
        <f t="shared" si="146"/>
        <v>Same Day</v>
      </c>
    </row>
    <row r="866" spans="1:32">
      <c r="A866" t="s">
        <v>5805</v>
      </c>
      <c r="B866" s="4">
        <v>45697</v>
      </c>
      <c r="C866" s="4">
        <v>45905</v>
      </c>
      <c r="D866" t="s">
        <v>5806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  <c r="V866" t="str">
        <f t="shared" si="147"/>
        <v>September</v>
      </c>
      <c r="W866" t="str">
        <f t="shared" si="148"/>
        <v>OK</v>
      </c>
      <c r="X866" t="str">
        <f t="shared" si="149"/>
        <v>OK</v>
      </c>
      <c r="Y866">
        <f t="shared" si="143"/>
        <v>0</v>
      </c>
      <c r="Z866">
        <f t="shared" si="144"/>
        <v>1</v>
      </c>
      <c r="AA866">
        <f t="shared" si="150"/>
        <v>2402.989999999998</v>
      </c>
      <c r="AB866">
        <f t="shared" si="151"/>
        <v>17034.349999999999</v>
      </c>
      <c r="AC866">
        <f t="shared" si="152"/>
        <v>208</v>
      </c>
      <c r="AD866" t="str">
        <f t="shared" si="145"/>
        <v>South</v>
      </c>
      <c r="AE866" t="str">
        <f t="shared" si="153"/>
        <v>Clean</v>
      </c>
      <c r="AF866" t="str">
        <f t="shared" si="146"/>
        <v>First Class</v>
      </c>
    </row>
    <row r="867" spans="1:32">
      <c r="A867" t="s">
        <v>5807</v>
      </c>
      <c r="B867" s="4">
        <v>45694</v>
      </c>
      <c r="C867" s="4">
        <v>45702</v>
      </c>
      <c r="D867" t="s">
        <v>5808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  <c r="V867" t="str">
        <f t="shared" si="147"/>
        <v>February</v>
      </c>
      <c r="W867" t="str">
        <f t="shared" si="148"/>
        <v>OK</v>
      </c>
      <c r="X867" t="str">
        <f t="shared" si="149"/>
        <v>OK</v>
      </c>
      <c r="Y867">
        <f t="shared" si="143"/>
        <v>0</v>
      </c>
      <c r="Z867">
        <f t="shared" si="144"/>
        <v>1</v>
      </c>
      <c r="AA867">
        <f t="shared" si="150"/>
        <v>2326.0299999999997</v>
      </c>
      <c r="AB867">
        <f t="shared" si="151"/>
        <v>7984.08</v>
      </c>
      <c r="AC867">
        <f t="shared" si="152"/>
        <v>8</v>
      </c>
      <c r="AD867" t="str">
        <f t="shared" si="145"/>
        <v>West</v>
      </c>
      <c r="AE867" t="str">
        <f t="shared" si="153"/>
        <v>Clean</v>
      </c>
      <c r="AF867" t="str">
        <f t="shared" si="146"/>
        <v>Second Class</v>
      </c>
    </row>
    <row r="868" spans="1:32">
      <c r="A868" t="s">
        <v>5809</v>
      </c>
      <c r="B868" s="4">
        <v>45714</v>
      </c>
      <c r="C868" s="4">
        <v>45722</v>
      </c>
      <c r="D868" t="s">
        <v>5810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  <c r="V868" t="str">
        <f t="shared" si="147"/>
        <v>March</v>
      </c>
      <c r="W868" t="str">
        <f t="shared" si="148"/>
        <v>OK</v>
      </c>
      <c r="X868" t="str">
        <f t="shared" si="149"/>
        <v>OK</v>
      </c>
      <c r="Y868">
        <f t="shared" si="143"/>
        <v>0.2</v>
      </c>
      <c r="Z868">
        <f t="shared" si="144"/>
        <v>1</v>
      </c>
      <c r="AA868">
        <f t="shared" si="150"/>
        <v>5544.4839999999986</v>
      </c>
      <c r="AB868">
        <f t="shared" si="151"/>
        <v>21912.263999999999</v>
      </c>
      <c r="AC868">
        <f t="shared" si="152"/>
        <v>8</v>
      </c>
      <c r="AD868" t="str">
        <f t="shared" si="145"/>
        <v>East</v>
      </c>
      <c r="AE868" t="str">
        <f t="shared" si="153"/>
        <v>Clean</v>
      </c>
      <c r="AF868" t="str">
        <f t="shared" si="146"/>
        <v>First Class</v>
      </c>
    </row>
    <row r="869" spans="1:32">
      <c r="A869" t="s">
        <v>5811</v>
      </c>
      <c r="B869" s="4">
        <v>45617</v>
      </c>
      <c r="C869" s="4">
        <v>45618</v>
      </c>
      <c r="D869" t="s">
        <v>5812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  <c r="V869" t="str">
        <f t="shared" si="147"/>
        <v>November</v>
      </c>
      <c r="W869" t="str">
        <f t="shared" si="148"/>
        <v>OK</v>
      </c>
      <c r="X869" t="str">
        <f t="shared" si="149"/>
        <v>OK</v>
      </c>
      <c r="Y869">
        <f t="shared" si="143"/>
        <v>0.25</v>
      </c>
      <c r="Z869">
        <f t="shared" si="144"/>
        <v>1</v>
      </c>
      <c r="AA869">
        <f t="shared" si="150"/>
        <v>824.01499999999987</v>
      </c>
      <c r="AB869">
        <f t="shared" si="151"/>
        <v>4695.7049999999999</v>
      </c>
      <c r="AC869">
        <f t="shared" si="152"/>
        <v>1</v>
      </c>
      <c r="AD869" t="str">
        <f t="shared" si="145"/>
        <v>South</v>
      </c>
      <c r="AE869" t="str">
        <f t="shared" si="153"/>
        <v>Clean</v>
      </c>
      <c r="AF869" t="str">
        <f t="shared" si="146"/>
        <v>Same Day</v>
      </c>
    </row>
    <row r="870" spans="1:32">
      <c r="A870" t="s">
        <v>5813</v>
      </c>
      <c r="B870" s="4">
        <v>45758</v>
      </c>
      <c r="C870" s="4">
        <v>45762</v>
      </c>
      <c r="D870" t="s">
        <v>5814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  <c r="V870" t="str">
        <f t="shared" si="147"/>
        <v>April</v>
      </c>
      <c r="W870" t="str">
        <f t="shared" si="148"/>
        <v>OK</v>
      </c>
      <c r="X870" t="str">
        <f t="shared" si="149"/>
        <v>OK</v>
      </c>
      <c r="Y870">
        <f t="shared" si="143"/>
        <v>0.05</v>
      </c>
      <c r="Z870">
        <f t="shared" si="144"/>
        <v>1</v>
      </c>
      <c r="AA870">
        <f t="shared" si="150"/>
        <v>829.57699999999977</v>
      </c>
      <c r="AB870">
        <f t="shared" si="151"/>
        <v>1923.2369999999999</v>
      </c>
      <c r="AC870">
        <f t="shared" si="152"/>
        <v>4</v>
      </c>
      <c r="AD870" t="str">
        <f t="shared" si="145"/>
        <v>South</v>
      </c>
      <c r="AE870" t="str">
        <f t="shared" si="153"/>
        <v>Clean</v>
      </c>
      <c r="AF870" t="str">
        <f t="shared" si="146"/>
        <v>Same Day</v>
      </c>
    </row>
    <row r="871" spans="1:32">
      <c r="A871" t="s">
        <v>5815</v>
      </c>
      <c r="B871" s="4">
        <v>45811</v>
      </c>
      <c r="C871" s="4">
        <v>45723</v>
      </c>
      <c r="D871" t="s">
        <v>5816</v>
      </c>
      <c r="E871" t="s">
        <v>180</v>
      </c>
      <c r="F871" t="s">
        <v>115</v>
      </c>
      <c r="G871" t="s">
        <v>4187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  <c r="V871" t="str">
        <f t="shared" si="147"/>
        <v>March</v>
      </c>
      <c r="W871" s="5" t="str">
        <f t="shared" si="148"/>
        <v>Invalid</v>
      </c>
      <c r="X871" t="str">
        <f t="shared" si="149"/>
        <v>OK</v>
      </c>
      <c r="Y871">
        <f t="shared" si="143"/>
        <v>0.1</v>
      </c>
      <c r="Z871">
        <f t="shared" si="144"/>
        <v>1</v>
      </c>
      <c r="AA871">
        <f t="shared" si="150"/>
        <v>1927.5099999999998</v>
      </c>
      <c r="AB871">
        <f t="shared" si="151"/>
        <v>4301.91</v>
      </c>
      <c r="AC871" s="5">
        <f t="shared" si="152"/>
        <v>-88</v>
      </c>
      <c r="AD871" s="5" t="str">
        <f t="shared" si="145"/>
        <v>Unknown</v>
      </c>
      <c r="AE871" t="str">
        <f t="shared" si="153"/>
        <v>Invalid</v>
      </c>
      <c r="AF871" t="str">
        <f t="shared" si="146"/>
        <v>Same Day</v>
      </c>
    </row>
    <row r="872" spans="1:32">
      <c r="A872" t="s">
        <v>5817</v>
      </c>
      <c r="B872" s="4">
        <v>45814</v>
      </c>
      <c r="C872" s="4">
        <v>45815</v>
      </c>
      <c r="D872" t="s">
        <v>5818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  <c r="V872" t="str">
        <f t="shared" si="147"/>
        <v>June</v>
      </c>
      <c r="W872" t="str">
        <f t="shared" si="148"/>
        <v>OK</v>
      </c>
      <c r="X872" t="str">
        <f t="shared" si="149"/>
        <v>OK</v>
      </c>
      <c r="Y872">
        <f t="shared" si="143"/>
        <v>0.15</v>
      </c>
      <c r="Z872">
        <f t="shared" si="144"/>
        <v>1</v>
      </c>
      <c r="AA872">
        <f t="shared" si="150"/>
        <v>4982.1680000000015</v>
      </c>
      <c r="AB872">
        <f t="shared" si="151"/>
        <v>22436.838</v>
      </c>
      <c r="AC872">
        <f t="shared" si="152"/>
        <v>1</v>
      </c>
      <c r="AD872" t="str">
        <f t="shared" si="145"/>
        <v>West</v>
      </c>
      <c r="AE872" t="str">
        <f t="shared" si="153"/>
        <v>Clean</v>
      </c>
      <c r="AF872" t="str">
        <f t="shared" si="146"/>
        <v>Standard Class</v>
      </c>
    </row>
    <row r="873" spans="1:32">
      <c r="A873" t="s">
        <v>5819</v>
      </c>
      <c r="B873" s="4">
        <v>45342</v>
      </c>
      <c r="C873" s="4">
        <v>45344</v>
      </c>
      <c r="D873" t="s">
        <v>5734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  <c r="V873" t="str">
        <f t="shared" si="147"/>
        <v>February</v>
      </c>
      <c r="W873" t="str">
        <f t="shared" si="148"/>
        <v>OK</v>
      </c>
      <c r="X873" t="str">
        <f t="shared" si="149"/>
        <v>OK</v>
      </c>
      <c r="Y873">
        <f t="shared" si="143"/>
        <v>0</v>
      </c>
      <c r="Z873">
        <f t="shared" si="144"/>
        <v>1</v>
      </c>
      <c r="AA873">
        <f t="shared" si="150"/>
        <v>7217.4499999999989</v>
      </c>
      <c r="AB873">
        <f t="shared" si="151"/>
        <v>19676.07</v>
      </c>
      <c r="AC873">
        <f t="shared" si="152"/>
        <v>2</v>
      </c>
      <c r="AD873" t="str">
        <f t="shared" si="145"/>
        <v>South</v>
      </c>
      <c r="AE873" t="str">
        <f t="shared" si="153"/>
        <v>Clean</v>
      </c>
      <c r="AF873" t="str">
        <f t="shared" si="146"/>
        <v>First Class</v>
      </c>
    </row>
    <row r="874" spans="1:32">
      <c r="A874" t="s">
        <v>5820</v>
      </c>
      <c r="B874" s="4">
        <v>45302</v>
      </c>
      <c r="C874" s="4">
        <v>45598</v>
      </c>
      <c r="D874" t="s">
        <v>5345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  <c r="V874" t="str">
        <f t="shared" si="147"/>
        <v>November</v>
      </c>
      <c r="W874" t="str">
        <f t="shared" si="148"/>
        <v>OK</v>
      </c>
      <c r="X874" t="str">
        <f t="shared" si="149"/>
        <v>OK</v>
      </c>
      <c r="Y874">
        <f t="shared" si="143"/>
        <v>0.2</v>
      </c>
      <c r="Z874">
        <f t="shared" si="144"/>
        <v>1</v>
      </c>
      <c r="AA874">
        <f t="shared" si="150"/>
        <v>3156.5199999999995</v>
      </c>
      <c r="AB874">
        <f t="shared" si="151"/>
        <v>8848.08</v>
      </c>
      <c r="AC874">
        <f t="shared" si="152"/>
        <v>296</v>
      </c>
      <c r="AD874" t="str">
        <f t="shared" si="145"/>
        <v>East</v>
      </c>
      <c r="AE874" t="str">
        <f t="shared" si="153"/>
        <v>Clean</v>
      </c>
      <c r="AF874" t="str">
        <f t="shared" si="146"/>
        <v>Standard Class</v>
      </c>
    </row>
    <row r="875" spans="1:32">
      <c r="A875" t="s">
        <v>5821</v>
      </c>
      <c r="B875" s="4">
        <v>45659</v>
      </c>
      <c r="C875" s="4">
        <v>45696</v>
      </c>
      <c r="D875" t="s">
        <v>5822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  <c r="V875" t="str">
        <f t="shared" si="147"/>
        <v>February</v>
      </c>
      <c r="W875" t="str">
        <f t="shared" si="148"/>
        <v>OK</v>
      </c>
      <c r="X875" t="str">
        <f t="shared" si="149"/>
        <v>OK</v>
      </c>
      <c r="Y875">
        <f t="shared" si="143"/>
        <v>0.1</v>
      </c>
      <c r="Z875">
        <f t="shared" si="144"/>
        <v>1</v>
      </c>
      <c r="AA875">
        <f t="shared" si="150"/>
        <v>1854.0519999999992</v>
      </c>
      <c r="AB875">
        <f t="shared" si="151"/>
        <v>4487.8319999999994</v>
      </c>
      <c r="AC875">
        <f t="shared" si="152"/>
        <v>37</v>
      </c>
      <c r="AD875" t="str">
        <f t="shared" si="145"/>
        <v>West</v>
      </c>
      <c r="AE875" t="str">
        <f t="shared" si="153"/>
        <v>Clean</v>
      </c>
      <c r="AF875" t="str">
        <f t="shared" si="146"/>
        <v>Second Class</v>
      </c>
    </row>
    <row r="876" spans="1:32">
      <c r="A876" t="s">
        <v>5823</v>
      </c>
      <c r="B876" s="4">
        <v>45853</v>
      </c>
      <c r="C876" s="4">
        <v>45854</v>
      </c>
      <c r="D876" t="s">
        <v>5824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  <c r="V876" t="str">
        <f t="shared" si="147"/>
        <v>July</v>
      </c>
      <c r="W876" t="str">
        <f t="shared" si="148"/>
        <v>OK</v>
      </c>
      <c r="X876" t="str">
        <f t="shared" si="149"/>
        <v>OK</v>
      </c>
      <c r="Y876">
        <f t="shared" si="143"/>
        <v>0.05</v>
      </c>
      <c r="Z876">
        <f t="shared" si="144"/>
        <v>1</v>
      </c>
      <c r="AA876">
        <f t="shared" si="150"/>
        <v>9118.9079999999994</v>
      </c>
      <c r="AB876">
        <f t="shared" si="151"/>
        <v>29829.088</v>
      </c>
      <c r="AC876">
        <f t="shared" si="152"/>
        <v>1</v>
      </c>
      <c r="AD876" t="str">
        <f t="shared" si="145"/>
        <v>West</v>
      </c>
      <c r="AE876" t="str">
        <f t="shared" si="153"/>
        <v>Clean</v>
      </c>
      <c r="AF876" t="str">
        <f t="shared" si="146"/>
        <v>Standard Class</v>
      </c>
    </row>
    <row r="877" spans="1:32">
      <c r="A877" t="s">
        <v>5825</v>
      </c>
      <c r="B877" s="4">
        <v>45573</v>
      </c>
      <c r="C877" s="4">
        <v>45604</v>
      </c>
      <c r="D877" t="s">
        <v>5826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  <c r="V877" t="str">
        <f t="shared" si="147"/>
        <v>November</v>
      </c>
      <c r="W877" t="str">
        <f t="shared" si="148"/>
        <v>OK</v>
      </c>
      <c r="X877" t="str">
        <f t="shared" si="149"/>
        <v>OK</v>
      </c>
      <c r="Y877">
        <f t="shared" si="143"/>
        <v>0.2</v>
      </c>
      <c r="Z877">
        <f t="shared" si="144"/>
        <v>1</v>
      </c>
      <c r="AA877">
        <f t="shared" si="150"/>
        <v>6901.8420000000024</v>
      </c>
      <c r="AB877">
        <f t="shared" si="151"/>
        <v>21574.672000000002</v>
      </c>
      <c r="AC877">
        <f t="shared" si="152"/>
        <v>31</v>
      </c>
      <c r="AD877" t="str">
        <f t="shared" si="145"/>
        <v>West</v>
      </c>
      <c r="AE877" t="str">
        <f t="shared" si="153"/>
        <v>Clean</v>
      </c>
      <c r="AF877" t="str">
        <f t="shared" si="146"/>
        <v>First Class</v>
      </c>
    </row>
    <row r="878" spans="1:32">
      <c r="A878" t="s">
        <v>5827</v>
      </c>
      <c r="B878" s="4">
        <v>45614</v>
      </c>
      <c r="C878" s="4">
        <v>45616</v>
      </c>
      <c r="D878" t="s">
        <v>5828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  <c r="V878" t="str">
        <f t="shared" si="147"/>
        <v>November</v>
      </c>
      <c r="W878" t="str">
        <f t="shared" si="148"/>
        <v>OK</v>
      </c>
      <c r="X878" t="str">
        <f t="shared" si="149"/>
        <v>OK</v>
      </c>
      <c r="Y878">
        <f t="shared" si="143"/>
        <v>0</v>
      </c>
      <c r="Z878">
        <f t="shared" si="144"/>
        <v>1</v>
      </c>
      <c r="AA878">
        <f t="shared" si="150"/>
        <v>6352.75</v>
      </c>
      <c r="AB878">
        <f t="shared" si="151"/>
        <v>22741.32</v>
      </c>
      <c r="AC878">
        <f t="shared" si="152"/>
        <v>2</v>
      </c>
      <c r="AD878" t="str">
        <f t="shared" si="145"/>
        <v>West</v>
      </c>
      <c r="AE878" t="str">
        <f t="shared" si="153"/>
        <v>Clean</v>
      </c>
      <c r="AF878" t="str">
        <f t="shared" si="146"/>
        <v>First Class</v>
      </c>
    </row>
    <row r="879" spans="1:32">
      <c r="A879" t="s">
        <v>5829</v>
      </c>
      <c r="B879" s="4">
        <v>45895</v>
      </c>
      <c r="C879" s="4">
        <v>45903</v>
      </c>
      <c r="D879" t="s">
        <v>5830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  <c r="V879" t="str">
        <f t="shared" si="147"/>
        <v>September</v>
      </c>
      <c r="W879" t="str">
        <f t="shared" si="148"/>
        <v>OK</v>
      </c>
      <c r="X879" t="str">
        <f t="shared" si="149"/>
        <v>OK</v>
      </c>
      <c r="Y879">
        <f t="shared" si="143"/>
        <v>0.1</v>
      </c>
      <c r="Z879">
        <f t="shared" si="144"/>
        <v>1</v>
      </c>
      <c r="AA879">
        <f t="shared" si="150"/>
        <v>951.17399999999998</v>
      </c>
      <c r="AB879">
        <f t="shared" si="151"/>
        <v>3641.5439999999999</v>
      </c>
      <c r="AC879">
        <f t="shared" si="152"/>
        <v>8</v>
      </c>
      <c r="AD879" t="str">
        <f t="shared" si="145"/>
        <v>West</v>
      </c>
      <c r="AE879" t="str">
        <f t="shared" si="153"/>
        <v>Clean</v>
      </c>
      <c r="AF879" t="str">
        <f t="shared" si="146"/>
        <v>Second Class</v>
      </c>
    </row>
    <row r="880" spans="1:32">
      <c r="A880" t="s">
        <v>5831</v>
      </c>
      <c r="B880" s="4">
        <v>45313</v>
      </c>
      <c r="C880" s="4">
        <v>45313</v>
      </c>
      <c r="D880" t="s">
        <v>5832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  <c r="V880" t="str">
        <f t="shared" si="147"/>
        <v>January</v>
      </c>
      <c r="W880" s="5" t="str">
        <f t="shared" si="148"/>
        <v>Invalid</v>
      </c>
      <c r="X880" t="str">
        <f t="shared" si="149"/>
        <v>OK</v>
      </c>
      <c r="Y880">
        <f t="shared" si="143"/>
        <v>0.05</v>
      </c>
      <c r="Z880">
        <f t="shared" si="144"/>
        <v>1</v>
      </c>
      <c r="AA880">
        <f t="shared" si="150"/>
        <v>2512.4359999999997</v>
      </c>
      <c r="AB880">
        <f t="shared" si="151"/>
        <v>11834.796</v>
      </c>
      <c r="AC880">
        <f t="shared" si="152"/>
        <v>0</v>
      </c>
      <c r="AD880" t="str">
        <f t="shared" si="145"/>
        <v>East</v>
      </c>
      <c r="AE880" t="str">
        <f t="shared" si="153"/>
        <v>Clean</v>
      </c>
      <c r="AF880" t="str">
        <f t="shared" si="146"/>
        <v>First Class</v>
      </c>
    </row>
    <row r="881" spans="1:32">
      <c r="A881" t="s">
        <v>5833</v>
      </c>
      <c r="B881" s="4">
        <v>45896</v>
      </c>
      <c r="C881" s="4">
        <v>45897</v>
      </c>
      <c r="D881" t="s">
        <v>5834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  <c r="V881" t="str">
        <f t="shared" si="147"/>
        <v>August</v>
      </c>
      <c r="W881" t="str">
        <f t="shared" si="148"/>
        <v>OK</v>
      </c>
      <c r="X881" t="str">
        <f t="shared" si="149"/>
        <v>OK</v>
      </c>
      <c r="Y881">
        <f t="shared" si="143"/>
        <v>0.15</v>
      </c>
      <c r="Z881">
        <f t="shared" si="144"/>
        <v>1</v>
      </c>
      <c r="AA881">
        <f t="shared" si="150"/>
        <v>1594.723</v>
      </c>
      <c r="AB881">
        <f t="shared" si="151"/>
        <v>6028.3530000000001</v>
      </c>
      <c r="AC881">
        <f t="shared" si="152"/>
        <v>1</v>
      </c>
      <c r="AD881" t="str">
        <f t="shared" si="145"/>
        <v>North</v>
      </c>
      <c r="AE881" t="str">
        <f t="shared" si="153"/>
        <v>Clean</v>
      </c>
      <c r="AF881" t="str">
        <f t="shared" si="146"/>
        <v>Standard Class</v>
      </c>
    </row>
    <row r="882" spans="1:32">
      <c r="A882" t="s">
        <v>5835</v>
      </c>
      <c r="B882" s="4">
        <v>45359</v>
      </c>
      <c r="C882" s="4">
        <v>45366</v>
      </c>
      <c r="D882" t="s">
        <v>5836</v>
      </c>
      <c r="E882" t="s">
        <v>162</v>
      </c>
      <c r="F882" t="s">
        <v>41</v>
      </c>
      <c r="G882" t="s">
        <v>4187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  <c r="V882" t="str">
        <f t="shared" si="147"/>
        <v>March</v>
      </c>
      <c r="W882" t="str">
        <f t="shared" si="148"/>
        <v>OK</v>
      </c>
      <c r="X882" t="str">
        <f t="shared" si="149"/>
        <v>OK</v>
      </c>
      <c r="Y882">
        <f t="shared" si="143"/>
        <v>0</v>
      </c>
      <c r="Z882">
        <f t="shared" si="144"/>
        <v>1</v>
      </c>
      <c r="AA882">
        <f t="shared" si="150"/>
        <v>2537.5100000000002</v>
      </c>
      <c r="AB882">
        <f t="shared" si="151"/>
        <v>16173.85</v>
      </c>
      <c r="AC882">
        <f t="shared" si="152"/>
        <v>7</v>
      </c>
      <c r="AD882" s="5" t="str">
        <f t="shared" si="145"/>
        <v>Unknown</v>
      </c>
      <c r="AE882" t="str">
        <f t="shared" si="153"/>
        <v>Clean</v>
      </c>
      <c r="AF882" t="str">
        <f t="shared" si="146"/>
        <v>First Class</v>
      </c>
    </row>
    <row r="883" spans="1:32">
      <c r="A883" t="s">
        <v>5837</v>
      </c>
      <c r="B883" s="4">
        <v>45303</v>
      </c>
      <c r="C883" s="4">
        <v>45631</v>
      </c>
      <c r="D883" t="s">
        <v>5838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  <c r="V883" t="str">
        <f t="shared" si="147"/>
        <v>December</v>
      </c>
      <c r="W883" t="str">
        <f t="shared" si="148"/>
        <v>OK</v>
      </c>
      <c r="X883" t="str">
        <f t="shared" si="149"/>
        <v>OK</v>
      </c>
      <c r="Y883">
        <f t="shared" si="143"/>
        <v>0.25</v>
      </c>
      <c r="Z883">
        <f t="shared" si="144"/>
        <v>1</v>
      </c>
      <c r="AA883">
        <f t="shared" si="150"/>
        <v>7562.8725000000013</v>
      </c>
      <c r="AB883">
        <f t="shared" si="151"/>
        <v>25155.5625</v>
      </c>
      <c r="AC883">
        <f t="shared" si="152"/>
        <v>328</v>
      </c>
      <c r="AD883" t="str">
        <f t="shared" si="145"/>
        <v>South</v>
      </c>
      <c r="AE883" t="str">
        <f t="shared" si="153"/>
        <v>Clean</v>
      </c>
      <c r="AF883" t="str">
        <f t="shared" si="146"/>
        <v>Second Class</v>
      </c>
    </row>
    <row r="884" spans="1:32">
      <c r="A884" t="s">
        <v>5839</v>
      </c>
      <c r="B884" s="4">
        <v>45690</v>
      </c>
      <c r="C884" s="4">
        <v>45932</v>
      </c>
      <c r="D884" t="s">
        <v>5840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  <c r="V884" t="str">
        <f t="shared" si="147"/>
        <v>October</v>
      </c>
      <c r="W884" t="str">
        <f t="shared" si="148"/>
        <v>OK</v>
      </c>
      <c r="X884" t="str">
        <f t="shared" si="149"/>
        <v>OK</v>
      </c>
      <c r="Y884">
        <f t="shared" si="143"/>
        <v>0</v>
      </c>
      <c r="Z884">
        <f t="shared" si="144"/>
        <v>1</v>
      </c>
      <c r="AA884">
        <f t="shared" si="150"/>
        <v>2755.2700000000004</v>
      </c>
      <c r="AB884">
        <f t="shared" si="151"/>
        <v>7649.8</v>
      </c>
      <c r="AC884">
        <f t="shared" si="152"/>
        <v>242</v>
      </c>
      <c r="AD884" t="str">
        <f t="shared" si="145"/>
        <v>East</v>
      </c>
      <c r="AE884" t="str">
        <f t="shared" si="153"/>
        <v>Clean</v>
      </c>
      <c r="AF884" t="str">
        <f t="shared" si="146"/>
        <v>Standard Class</v>
      </c>
    </row>
    <row r="885" spans="1:32">
      <c r="A885" t="s">
        <v>5841</v>
      </c>
      <c r="B885" s="4">
        <v>45775</v>
      </c>
      <c r="C885" s="4">
        <v>45662</v>
      </c>
      <c r="D885" t="s">
        <v>5842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  <c r="V885" t="str">
        <f t="shared" si="147"/>
        <v>January</v>
      </c>
      <c r="W885" s="5" t="str">
        <f t="shared" si="148"/>
        <v>Invalid</v>
      </c>
      <c r="X885" t="str">
        <f t="shared" si="149"/>
        <v>OK</v>
      </c>
      <c r="Y885">
        <f t="shared" si="143"/>
        <v>0</v>
      </c>
      <c r="Z885">
        <f t="shared" si="144"/>
        <v>1</v>
      </c>
      <c r="AA885">
        <f t="shared" si="150"/>
        <v>517.26</v>
      </c>
      <c r="AB885">
        <f t="shared" si="151"/>
        <v>1620.87</v>
      </c>
      <c r="AC885" s="5">
        <f t="shared" si="152"/>
        <v>-113</v>
      </c>
      <c r="AD885" t="str">
        <f t="shared" si="145"/>
        <v>West</v>
      </c>
      <c r="AE885" t="str">
        <f t="shared" si="153"/>
        <v>Invalid</v>
      </c>
      <c r="AF885" t="str">
        <f t="shared" si="146"/>
        <v>Same Day</v>
      </c>
    </row>
    <row r="886" spans="1:32">
      <c r="A886" t="s">
        <v>5843</v>
      </c>
      <c r="B886" s="4">
        <v>45675</v>
      </c>
      <c r="C886" s="4">
        <v>45682</v>
      </c>
      <c r="D886" t="s">
        <v>5844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  <c r="V886" t="str">
        <f t="shared" si="147"/>
        <v>January</v>
      </c>
      <c r="W886" t="str">
        <f t="shared" si="148"/>
        <v>OK</v>
      </c>
      <c r="X886" t="str">
        <f t="shared" si="149"/>
        <v>OK</v>
      </c>
      <c r="Y886">
        <f t="shared" si="143"/>
        <v>0.15</v>
      </c>
      <c r="Z886">
        <f t="shared" si="144"/>
        <v>1</v>
      </c>
      <c r="AA886">
        <f t="shared" si="150"/>
        <v>1155.7179999999998</v>
      </c>
      <c r="AB886">
        <f t="shared" si="151"/>
        <v>3567.518</v>
      </c>
      <c r="AC886">
        <f t="shared" si="152"/>
        <v>7</v>
      </c>
      <c r="AD886" t="str">
        <f t="shared" si="145"/>
        <v>South</v>
      </c>
      <c r="AE886" t="str">
        <f t="shared" si="153"/>
        <v>Clean</v>
      </c>
      <c r="AF886" t="str">
        <f t="shared" si="146"/>
        <v>Same Day</v>
      </c>
    </row>
    <row r="887" spans="1:32">
      <c r="A887" t="s">
        <v>5845</v>
      </c>
      <c r="B887" s="4">
        <v>45413</v>
      </c>
      <c r="C887" s="4">
        <v>45296</v>
      </c>
      <c r="D887" t="s">
        <v>5846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  <c r="V887" t="str">
        <f t="shared" si="147"/>
        <v>January</v>
      </c>
      <c r="W887" s="5" t="str">
        <f t="shared" si="148"/>
        <v>Invalid</v>
      </c>
      <c r="X887" t="str">
        <f t="shared" si="149"/>
        <v>OK</v>
      </c>
      <c r="Y887">
        <f t="shared" si="143"/>
        <v>0.25</v>
      </c>
      <c r="Z887">
        <f t="shared" si="144"/>
        <v>1</v>
      </c>
      <c r="AA887">
        <f t="shared" si="150"/>
        <v>467.41999999999985</v>
      </c>
      <c r="AB887">
        <f t="shared" si="151"/>
        <v>1625.31</v>
      </c>
      <c r="AC887" s="5">
        <f t="shared" si="152"/>
        <v>-117</v>
      </c>
      <c r="AD887" t="str">
        <f t="shared" si="145"/>
        <v>North</v>
      </c>
      <c r="AE887" t="str">
        <f t="shared" si="153"/>
        <v>Invalid</v>
      </c>
      <c r="AF887" t="str">
        <f t="shared" si="146"/>
        <v>Standard Class</v>
      </c>
    </row>
    <row r="888" spans="1:32">
      <c r="A888" t="s">
        <v>5847</v>
      </c>
      <c r="B888" s="4">
        <v>45773</v>
      </c>
      <c r="C888" s="4">
        <v>45780</v>
      </c>
      <c r="D888" t="s">
        <v>5848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  <c r="V888" t="str">
        <f t="shared" si="147"/>
        <v>May</v>
      </c>
      <c r="W888" t="str">
        <f t="shared" si="148"/>
        <v>OK</v>
      </c>
      <c r="X888" t="str">
        <f t="shared" si="149"/>
        <v>OK</v>
      </c>
      <c r="Y888">
        <f t="shared" si="143"/>
        <v>0.15</v>
      </c>
      <c r="Z888">
        <f t="shared" si="144"/>
        <v>1</v>
      </c>
      <c r="AA888">
        <f t="shared" si="150"/>
        <v>6023.3849999999984</v>
      </c>
      <c r="AB888">
        <f t="shared" si="151"/>
        <v>23739.904999999999</v>
      </c>
      <c r="AC888">
        <f t="shared" si="152"/>
        <v>7</v>
      </c>
      <c r="AD888" t="str">
        <f t="shared" si="145"/>
        <v>South</v>
      </c>
      <c r="AE888" t="str">
        <f t="shared" si="153"/>
        <v>Clean</v>
      </c>
      <c r="AF888" t="str">
        <f t="shared" si="146"/>
        <v>First Class</v>
      </c>
    </row>
    <row r="889" spans="1:32">
      <c r="A889" t="s">
        <v>5849</v>
      </c>
      <c r="B889" s="4">
        <v>45632</v>
      </c>
      <c r="C889" s="4">
        <v>45461</v>
      </c>
      <c r="D889" t="s">
        <v>5850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  <c r="V889" t="str">
        <f t="shared" si="147"/>
        <v>June</v>
      </c>
      <c r="W889" s="5" t="str">
        <f t="shared" si="148"/>
        <v>Invalid</v>
      </c>
      <c r="X889" t="str">
        <f t="shared" si="149"/>
        <v>OK</v>
      </c>
      <c r="Y889">
        <f t="shared" si="143"/>
        <v>0</v>
      </c>
      <c r="Z889">
        <f t="shared" si="144"/>
        <v>1</v>
      </c>
      <c r="AA889">
        <f t="shared" si="150"/>
        <v>6546.24</v>
      </c>
      <c r="AB889">
        <f t="shared" si="151"/>
        <v>16704.52</v>
      </c>
      <c r="AC889" s="5">
        <f t="shared" si="152"/>
        <v>-171</v>
      </c>
      <c r="AD889" t="str">
        <f t="shared" si="145"/>
        <v>South</v>
      </c>
      <c r="AE889" t="str">
        <f t="shared" si="153"/>
        <v>Invalid</v>
      </c>
      <c r="AF889" t="str">
        <f t="shared" si="146"/>
        <v>Standard Class</v>
      </c>
    </row>
    <row r="890" spans="1:32">
      <c r="A890" t="s">
        <v>5851</v>
      </c>
      <c r="B890" s="4">
        <v>45875</v>
      </c>
      <c r="C890" s="4">
        <v>45876</v>
      </c>
      <c r="D890" t="s">
        <v>5852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  <c r="V890" t="str">
        <f t="shared" si="147"/>
        <v>August</v>
      </c>
      <c r="W890" t="str">
        <f t="shared" si="148"/>
        <v>OK</v>
      </c>
      <c r="X890" t="str">
        <f t="shared" si="149"/>
        <v>OK</v>
      </c>
      <c r="Y890">
        <f t="shared" si="143"/>
        <v>0.1</v>
      </c>
      <c r="Z890">
        <f t="shared" si="144"/>
        <v>1</v>
      </c>
      <c r="AA890">
        <f t="shared" si="150"/>
        <v>1905.5439999999999</v>
      </c>
      <c r="AB890">
        <f t="shared" si="151"/>
        <v>12685.103999999999</v>
      </c>
      <c r="AC890">
        <f t="shared" si="152"/>
        <v>1</v>
      </c>
      <c r="AD890" t="str">
        <f t="shared" si="145"/>
        <v>West</v>
      </c>
      <c r="AE890" t="str">
        <f t="shared" si="153"/>
        <v>Clean</v>
      </c>
      <c r="AF890" t="str">
        <f t="shared" si="146"/>
        <v>Standard Class</v>
      </c>
    </row>
    <row r="891" spans="1:32">
      <c r="A891" t="s">
        <v>5853</v>
      </c>
      <c r="B891" s="4">
        <v>45933</v>
      </c>
      <c r="C891" s="4">
        <v>45964</v>
      </c>
      <c r="D891" t="s">
        <v>4631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  <c r="V891" t="str">
        <f t="shared" si="147"/>
        <v>November</v>
      </c>
      <c r="W891" t="str">
        <f t="shared" si="148"/>
        <v>OK</v>
      </c>
      <c r="X891" t="str">
        <f t="shared" si="149"/>
        <v>OK</v>
      </c>
      <c r="Y891">
        <f t="shared" si="143"/>
        <v>0.25</v>
      </c>
      <c r="Z891">
        <f t="shared" si="144"/>
        <v>1</v>
      </c>
      <c r="AA891">
        <f t="shared" si="150"/>
        <v>1235.21</v>
      </c>
      <c r="AB891">
        <f t="shared" si="151"/>
        <v>5883.12</v>
      </c>
      <c r="AC891">
        <f t="shared" si="152"/>
        <v>31</v>
      </c>
      <c r="AD891" t="str">
        <f t="shared" si="145"/>
        <v>West</v>
      </c>
      <c r="AE891" t="str">
        <f t="shared" si="153"/>
        <v>Clean</v>
      </c>
      <c r="AF891" t="str">
        <f t="shared" si="146"/>
        <v>First Class</v>
      </c>
    </row>
    <row r="892" spans="1:32">
      <c r="A892" t="s">
        <v>5854</v>
      </c>
      <c r="B892" s="4">
        <v>45427</v>
      </c>
      <c r="C892" s="4">
        <v>45433</v>
      </c>
      <c r="D892" t="s">
        <v>5855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  <c r="V892" t="str">
        <f t="shared" si="147"/>
        <v>May</v>
      </c>
      <c r="W892" t="str">
        <f t="shared" si="148"/>
        <v>OK</v>
      </c>
      <c r="X892" t="str">
        <f t="shared" si="149"/>
        <v>OK</v>
      </c>
      <c r="Y892">
        <f t="shared" si="143"/>
        <v>0.2</v>
      </c>
      <c r="Z892">
        <f t="shared" si="144"/>
        <v>1</v>
      </c>
      <c r="AA892">
        <f t="shared" si="150"/>
        <v>2319.768</v>
      </c>
      <c r="AB892">
        <f t="shared" si="151"/>
        <v>13965.888000000001</v>
      </c>
      <c r="AC892">
        <f t="shared" si="152"/>
        <v>6</v>
      </c>
      <c r="AD892" t="str">
        <f t="shared" si="145"/>
        <v>West</v>
      </c>
      <c r="AE892" t="str">
        <f t="shared" si="153"/>
        <v>Clean</v>
      </c>
      <c r="AF892" t="str">
        <f t="shared" si="146"/>
        <v>Standard Class</v>
      </c>
    </row>
    <row r="893" spans="1:32">
      <c r="A893" t="s">
        <v>5856</v>
      </c>
      <c r="B893" s="4">
        <v>45514</v>
      </c>
      <c r="C893" s="4">
        <v>45574</v>
      </c>
      <c r="D893" t="s">
        <v>5857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  <c r="V893" t="str">
        <f t="shared" si="147"/>
        <v>October</v>
      </c>
      <c r="W893" t="str">
        <f t="shared" si="148"/>
        <v>OK</v>
      </c>
      <c r="X893" t="str">
        <f t="shared" si="149"/>
        <v>OK</v>
      </c>
      <c r="Y893">
        <f t="shared" si="143"/>
        <v>0.1</v>
      </c>
      <c r="Z893">
        <f t="shared" si="144"/>
        <v>1</v>
      </c>
      <c r="AA893">
        <f t="shared" si="150"/>
        <v>4415.9449999999997</v>
      </c>
      <c r="AB893">
        <f t="shared" si="151"/>
        <v>10835.865</v>
      </c>
      <c r="AC893">
        <f t="shared" si="152"/>
        <v>60</v>
      </c>
      <c r="AD893" t="str">
        <f t="shared" si="145"/>
        <v>South</v>
      </c>
      <c r="AE893" t="str">
        <f t="shared" si="153"/>
        <v>Clean</v>
      </c>
      <c r="AF893" t="str">
        <f t="shared" si="146"/>
        <v>Same Day</v>
      </c>
    </row>
    <row r="894" spans="1:32">
      <c r="A894" t="s">
        <v>5858</v>
      </c>
      <c r="B894" s="4">
        <v>45995</v>
      </c>
      <c r="C894" s="4">
        <v>45765</v>
      </c>
      <c r="D894" t="s">
        <v>5859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  <c r="V894" t="str">
        <f t="shared" si="147"/>
        <v>April</v>
      </c>
      <c r="W894" s="5" t="str">
        <f t="shared" si="148"/>
        <v>Invalid</v>
      </c>
      <c r="X894" t="str">
        <f t="shared" si="149"/>
        <v>OK</v>
      </c>
      <c r="Y894">
        <f t="shared" si="143"/>
        <v>0.2</v>
      </c>
      <c r="Z894">
        <f t="shared" si="144"/>
        <v>1</v>
      </c>
      <c r="AA894">
        <f t="shared" si="150"/>
        <v>157.65200000000004</v>
      </c>
      <c r="AB894">
        <f t="shared" si="151"/>
        <v>581.51200000000006</v>
      </c>
      <c r="AC894" s="5">
        <f t="shared" si="152"/>
        <v>-230</v>
      </c>
      <c r="AD894" t="str">
        <f t="shared" si="145"/>
        <v>East</v>
      </c>
      <c r="AE894" t="str">
        <f t="shared" si="153"/>
        <v>Invalid</v>
      </c>
      <c r="AF894" t="str">
        <f t="shared" si="146"/>
        <v>Same Day</v>
      </c>
    </row>
    <row r="895" spans="1:32">
      <c r="A895" t="s">
        <v>5860</v>
      </c>
      <c r="B895" s="4">
        <v>45449</v>
      </c>
      <c r="C895" s="4">
        <v>45451</v>
      </c>
      <c r="D895" t="s">
        <v>5861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  <c r="V895" t="str">
        <f t="shared" si="147"/>
        <v>June</v>
      </c>
      <c r="W895" t="str">
        <f t="shared" si="148"/>
        <v>OK</v>
      </c>
      <c r="X895" t="str">
        <f t="shared" si="149"/>
        <v>OK</v>
      </c>
      <c r="Y895">
        <f t="shared" si="143"/>
        <v>0.05</v>
      </c>
      <c r="Z895">
        <f t="shared" si="144"/>
        <v>1</v>
      </c>
      <c r="AA895">
        <f t="shared" si="150"/>
        <v>281.52650000000006</v>
      </c>
      <c r="AB895">
        <f t="shared" si="151"/>
        <v>1127.1465000000001</v>
      </c>
      <c r="AC895">
        <f t="shared" si="152"/>
        <v>2</v>
      </c>
      <c r="AD895" t="str">
        <f t="shared" si="145"/>
        <v>South</v>
      </c>
      <c r="AE895" t="str">
        <f t="shared" si="153"/>
        <v>Clean</v>
      </c>
      <c r="AF895" t="str">
        <f t="shared" si="146"/>
        <v>Second Class</v>
      </c>
    </row>
    <row r="896" spans="1:32">
      <c r="A896" t="s">
        <v>5862</v>
      </c>
      <c r="B896" s="4">
        <v>45344</v>
      </c>
      <c r="C896" s="4">
        <v>45351</v>
      </c>
      <c r="D896" t="s">
        <v>5863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  <c r="V896" t="str">
        <f t="shared" si="147"/>
        <v>February</v>
      </c>
      <c r="W896" t="str">
        <f t="shared" si="148"/>
        <v>OK</v>
      </c>
      <c r="X896" t="str">
        <f t="shared" si="149"/>
        <v>OK</v>
      </c>
      <c r="Y896">
        <f t="shared" si="143"/>
        <v>0</v>
      </c>
      <c r="Z896">
        <f t="shared" si="144"/>
        <v>1</v>
      </c>
      <c r="AA896">
        <f t="shared" si="150"/>
        <v>8812.3700000000026</v>
      </c>
      <c r="AB896">
        <f t="shared" si="151"/>
        <v>25524.300000000003</v>
      </c>
      <c r="AC896">
        <f t="shared" si="152"/>
        <v>7</v>
      </c>
      <c r="AD896" t="str">
        <f t="shared" si="145"/>
        <v>South</v>
      </c>
      <c r="AE896" t="str">
        <f t="shared" si="153"/>
        <v>Clean</v>
      </c>
      <c r="AF896" t="str">
        <f t="shared" si="146"/>
        <v>First Class</v>
      </c>
    </row>
    <row r="897" spans="1:32">
      <c r="A897" t="s">
        <v>5864</v>
      </c>
      <c r="B897" s="4">
        <v>45423</v>
      </c>
      <c r="C897" s="4">
        <v>45576</v>
      </c>
      <c r="D897" t="s">
        <v>5865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  <c r="V897" t="str">
        <f t="shared" si="147"/>
        <v>October</v>
      </c>
      <c r="W897" t="str">
        <f t="shared" si="148"/>
        <v>OK</v>
      </c>
      <c r="X897" t="str">
        <f t="shared" si="149"/>
        <v>OK</v>
      </c>
      <c r="Y897">
        <f t="shared" si="143"/>
        <v>0.15</v>
      </c>
      <c r="Z897">
        <f t="shared" si="144"/>
        <v>1</v>
      </c>
      <c r="AA897">
        <f t="shared" si="150"/>
        <v>976.12199999999962</v>
      </c>
      <c r="AB897">
        <f t="shared" si="151"/>
        <v>2418.0119999999997</v>
      </c>
      <c r="AC897">
        <f t="shared" si="152"/>
        <v>153</v>
      </c>
      <c r="AD897" t="str">
        <f t="shared" si="145"/>
        <v>South</v>
      </c>
      <c r="AE897" t="str">
        <f t="shared" si="153"/>
        <v>Clean</v>
      </c>
      <c r="AF897" t="str">
        <f t="shared" si="146"/>
        <v>Same Day</v>
      </c>
    </row>
    <row r="898" spans="1:32">
      <c r="A898" t="s">
        <v>5866</v>
      </c>
      <c r="B898" s="4">
        <v>45650</v>
      </c>
      <c r="C898" s="4">
        <v>45651</v>
      </c>
      <c r="D898" t="s">
        <v>5867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  <c r="V898" t="str">
        <f t="shared" si="147"/>
        <v>December</v>
      </c>
      <c r="W898" t="str">
        <f t="shared" si="148"/>
        <v>OK</v>
      </c>
      <c r="X898" t="str">
        <f t="shared" si="149"/>
        <v>OK</v>
      </c>
      <c r="Y898">
        <f t="shared" ref="Y898:Y913" si="154">IF(P898 ="",0,P898)</f>
        <v>0.05</v>
      </c>
      <c r="Z898">
        <f t="shared" ref="Z898:Z913" si="155">COUNTIF(A:A,A898)</f>
        <v>1</v>
      </c>
      <c r="AA898">
        <f t="shared" si="150"/>
        <v>680.31849999999986</v>
      </c>
      <c r="AB898">
        <f t="shared" si="151"/>
        <v>3508.3784999999998</v>
      </c>
      <c r="AC898">
        <f t="shared" si="152"/>
        <v>1</v>
      </c>
      <c r="AD898" t="str">
        <f t="shared" ref="AD898:AD913" si="156">IF(G898="","Unknown",G898)</f>
        <v>South</v>
      </c>
      <c r="AE898" t="str">
        <f t="shared" si="153"/>
        <v>Clean</v>
      </c>
      <c r="AF898" t="str">
        <f t="shared" ref="AF898:AF913" si="157">IF(M898="","Unknown",M898)</f>
        <v>Second Class</v>
      </c>
    </row>
    <row r="899" spans="1:32">
      <c r="A899" t="s">
        <v>5868</v>
      </c>
      <c r="B899" s="4">
        <v>45776</v>
      </c>
      <c r="C899" s="4">
        <v>45780</v>
      </c>
      <c r="D899" t="s">
        <v>5450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  <c r="V899" t="str">
        <f t="shared" ref="V899:V913" si="158">TEXT(C899,"MMMM")</f>
        <v>May</v>
      </c>
      <c r="W899" t="str">
        <f t="shared" ref="W899:W913" si="159">IF(B899&lt;C899,"OK","Invalid")</f>
        <v>OK</v>
      </c>
      <c r="X899" t="str">
        <f t="shared" ref="X899:X913" si="160">IF(P899&lt;0,"Negative Discount","OK")</f>
        <v>OK</v>
      </c>
      <c r="Y899">
        <f t="shared" si="154"/>
        <v>0.05</v>
      </c>
      <c r="Z899">
        <f t="shared" si="155"/>
        <v>1</v>
      </c>
      <c r="AA899">
        <f t="shared" ref="AA899:AA913" si="161">AB899-R899</f>
        <v>1162.8400000000001</v>
      </c>
      <c r="AB899">
        <f t="shared" ref="AB899:AB913" si="162">N899*O899*(1-Y899)</f>
        <v>6789.27</v>
      </c>
      <c r="AC899">
        <f t="shared" ref="AC899:AC913" si="163">C899-B899</f>
        <v>4</v>
      </c>
      <c r="AD899" t="str">
        <f t="shared" si="156"/>
        <v>North</v>
      </c>
      <c r="AE899" t="str">
        <f t="shared" ref="AE899:AE913" si="164">IF(OR(P899&lt;0,P899&gt;1,C899&lt;B899),"Invalid",IF(OR(G899="Unknown",M899="Unknown"),"Warning","Clean"))</f>
        <v>Clean</v>
      </c>
      <c r="AF899" t="str">
        <f t="shared" si="157"/>
        <v>First Class</v>
      </c>
    </row>
    <row r="900" spans="1:32">
      <c r="A900" t="s">
        <v>5869</v>
      </c>
      <c r="B900" s="4">
        <v>45328</v>
      </c>
      <c r="C900" s="4">
        <v>45510</v>
      </c>
      <c r="D900" t="s">
        <v>5870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  <c r="V900" t="str">
        <f t="shared" si="158"/>
        <v>August</v>
      </c>
      <c r="W900" t="str">
        <f t="shared" si="159"/>
        <v>OK</v>
      </c>
      <c r="X900" t="str">
        <f t="shared" si="160"/>
        <v>OK</v>
      </c>
      <c r="Y900">
        <f t="shared" si="154"/>
        <v>0.2</v>
      </c>
      <c r="Z900">
        <f t="shared" si="155"/>
        <v>1</v>
      </c>
      <c r="AA900">
        <f t="shared" si="161"/>
        <v>1070.6700000000005</v>
      </c>
      <c r="AB900">
        <f t="shared" si="162"/>
        <v>4917.4400000000005</v>
      </c>
      <c r="AC900">
        <f t="shared" si="163"/>
        <v>182</v>
      </c>
      <c r="AD900" t="str">
        <f t="shared" si="156"/>
        <v>North</v>
      </c>
      <c r="AE900" t="str">
        <f t="shared" si="164"/>
        <v>Clean</v>
      </c>
      <c r="AF900" t="str">
        <f t="shared" si="157"/>
        <v>First Class</v>
      </c>
    </row>
    <row r="901" spans="1:32">
      <c r="A901" t="s">
        <v>5871</v>
      </c>
      <c r="B901" s="4">
        <v>45804</v>
      </c>
      <c r="C901" s="4">
        <v>45722</v>
      </c>
      <c r="D901" t="s">
        <v>5872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  <c r="V901" t="str">
        <f t="shared" si="158"/>
        <v>March</v>
      </c>
      <c r="W901" s="5" t="str">
        <f t="shared" si="159"/>
        <v>Invalid</v>
      </c>
      <c r="X901" t="str">
        <f t="shared" si="160"/>
        <v>OK</v>
      </c>
      <c r="Y901">
        <f t="shared" si="154"/>
        <v>0.25</v>
      </c>
      <c r="Z901">
        <f t="shared" si="155"/>
        <v>1</v>
      </c>
      <c r="AA901">
        <f t="shared" si="161"/>
        <v>1024.6400000000003</v>
      </c>
      <c r="AB901">
        <f t="shared" si="162"/>
        <v>3304.05</v>
      </c>
      <c r="AC901" s="5">
        <f t="shared" si="163"/>
        <v>-82</v>
      </c>
      <c r="AD901" t="str">
        <f t="shared" si="156"/>
        <v>North</v>
      </c>
      <c r="AE901" t="str">
        <f t="shared" si="164"/>
        <v>Invalid</v>
      </c>
      <c r="AF901" t="str">
        <f t="shared" si="157"/>
        <v>First Class</v>
      </c>
    </row>
    <row r="902" spans="1:32">
      <c r="A902" t="s">
        <v>4774</v>
      </c>
      <c r="B902" s="4">
        <v>45630</v>
      </c>
      <c r="C902" s="4">
        <v>45632</v>
      </c>
      <c r="D902" t="s">
        <v>4775</v>
      </c>
      <c r="E902" t="s">
        <v>168</v>
      </c>
      <c r="F902" t="s">
        <v>115</v>
      </c>
      <c r="G902" t="s">
        <v>42</v>
      </c>
      <c r="H902" t="s">
        <v>43</v>
      </c>
      <c r="I902" t="s">
        <v>44</v>
      </c>
      <c r="J902" t="s">
        <v>30</v>
      </c>
      <c r="K902" t="s">
        <v>198</v>
      </c>
      <c r="L902" t="s">
        <v>1680</v>
      </c>
      <c r="M902" t="s">
        <v>33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34</v>
      </c>
      <c r="U902" s="6" t="s">
        <v>35</v>
      </c>
      <c r="V902" t="str">
        <f t="shared" si="158"/>
        <v>December</v>
      </c>
      <c r="W902" t="str">
        <f t="shared" si="159"/>
        <v>OK</v>
      </c>
      <c r="X902" t="str">
        <f t="shared" si="160"/>
        <v>OK</v>
      </c>
      <c r="Y902">
        <f t="shared" si="154"/>
        <v>0</v>
      </c>
      <c r="Z902" s="5">
        <f t="shared" si="155"/>
        <v>2</v>
      </c>
      <c r="AA902">
        <f t="shared" si="161"/>
        <v>4265.2699999999995</v>
      </c>
      <c r="AB902">
        <f t="shared" si="162"/>
        <v>10742.64</v>
      </c>
      <c r="AC902">
        <f t="shared" si="163"/>
        <v>2</v>
      </c>
      <c r="AD902" t="str">
        <f t="shared" si="156"/>
        <v>East</v>
      </c>
      <c r="AE902" t="str">
        <f t="shared" si="164"/>
        <v>Clean</v>
      </c>
      <c r="AF902" t="str">
        <f t="shared" si="157"/>
        <v>Second Class</v>
      </c>
    </row>
    <row r="903" spans="1:32">
      <c r="A903" t="s">
        <v>4298</v>
      </c>
      <c r="B903" s="4">
        <v>45893</v>
      </c>
      <c r="C903" s="4">
        <v>45898</v>
      </c>
      <c r="D903" t="s">
        <v>4299</v>
      </c>
      <c r="E903" t="s">
        <v>162</v>
      </c>
      <c r="F903" t="s">
        <v>41</v>
      </c>
      <c r="G903" t="s">
        <v>42</v>
      </c>
      <c r="H903" t="s">
        <v>186</v>
      </c>
      <c r="I903" t="s">
        <v>187</v>
      </c>
      <c r="J903" t="s">
        <v>86</v>
      </c>
      <c r="K903" t="s">
        <v>94</v>
      </c>
      <c r="L903" t="s">
        <v>552</v>
      </c>
      <c r="M903" t="s">
        <v>56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34</v>
      </c>
      <c r="U903" s="9" t="s">
        <v>125</v>
      </c>
      <c r="V903" t="str">
        <f t="shared" si="158"/>
        <v>August</v>
      </c>
      <c r="W903" t="str">
        <f t="shared" si="159"/>
        <v>OK</v>
      </c>
      <c r="X903" t="str">
        <f t="shared" si="160"/>
        <v>OK</v>
      </c>
      <c r="Y903">
        <f t="shared" si="154"/>
        <v>0.15</v>
      </c>
      <c r="Z903" s="5">
        <f t="shared" si="155"/>
        <v>2</v>
      </c>
      <c r="AA903">
        <f t="shared" si="161"/>
        <v>3858.8180000000002</v>
      </c>
      <c r="AB903">
        <f t="shared" si="162"/>
        <v>9445.098</v>
      </c>
      <c r="AC903">
        <f t="shared" si="163"/>
        <v>5</v>
      </c>
      <c r="AD903" t="str">
        <f t="shared" si="156"/>
        <v>East</v>
      </c>
      <c r="AE903" t="str">
        <f t="shared" si="164"/>
        <v>Clean</v>
      </c>
      <c r="AF903" t="str">
        <f t="shared" si="157"/>
        <v>First Class</v>
      </c>
    </row>
    <row r="904" spans="1:32">
      <c r="A904" t="s">
        <v>4856</v>
      </c>
      <c r="B904" s="4">
        <v>45760</v>
      </c>
      <c r="C904" s="4">
        <v>45760</v>
      </c>
      <c r="D904" t="s">
        <v>4857</v>
      </c>
      <c r="E904" t="s">
        <v>168</v>
      </c>
      <c r="F904" t="s">
        <v>41</v>
      </c>
      <c r="G904" t="s">
        <v>27</v>
      </c>
      <c r="H904" t="s">
        <v>174</v>
      </c>
      <c r="I904" t="s">
        <v>175</v>
      </c>
      <c r="J904" t="s">
        <v>30</v>
      </c>
      <c r="K904" t="s">
        <v>156</v>
      </c>
      <c r="L904" t="s">
        <v>1864</v>
      </c>
      <c r="M904" t="s">
        <v>33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34</v>
      </c>
      <c r="U904" s="9" t="s">
        <v>125</v>
      </c>
      <c r="V904" t="str">
        <f t="shared" si="158"/>
        <v>April</v>
      </c>
      <c r="W904" s="5" t="str">
        <f t="shared" si="159"/>
        <v>Invalid</v>
      </c>
      <c r="X904" t="str">
        <f t="shared" si="160"/>
        <v>OK</v>
      </c>
      <c r="Y904">
        <f t="shared" si="154"/>
        <v>0</v>
      </c>
      <c r="Z904" s="5">
        <f t="shared" si="155"/>
        <v>2</v>
      </c>
      <c r="AA904">
        <f t="shared" si="161"/>
        <v>1472.75</v>
      </c>
      <c r="AB904">
        <f t="shared" si="162"/>
        <v>10068.120000000001</v>
      </c>
      <c r="AC904">
        <f t="shared" si="163"/>
        <v>0</v>
      </c>
      <c r="AD904" t="str">
        <f t="shared" si="156"/>
        <v>North</v>
      </c>
      <c r="AE904" t="str">
        <f t="shared" si="164"/>
        <v>Clean</v>
      </c>
      <c r="AF904" t="str">
        <f t="shared" si="157"/>
        <v>Second Class</v>
      </c>
    </row>
    <row r="905" spans="1:32">
      <c r="A905" t="s">
        <v>4562</v>
      </c>
      <c r="B905" s="4">
        <v>45698</v>
      </c>
      <c r="C905" s="4">
        <v>45938</v>
      </c>
      <c r="D905" t="s">
        <v>4563</v>
      </c>
      <c r="E905" t="s">
        <v>53</v>
      </c>
      <c r="F905" t="s">
        <v>41</v>
      </c>
      <c r="G905" t="s">
        <v>27</v>
      </c>
      <c r="H905" t="s">
        <v>154</v>
      </c>
      <c r="I905" t="s">
        <v>155</v>
      </c>
      <c r="J905" t="s">
        <v>45</v>
      </c>
      <c r="K905" t="s">
        <v>65</v>
      </c>
      <c r="L905" t="s">
        <v>1193</v>
      </c>
      <c r="M905" t="s">
        <v>67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34</v>
      </c>
      <c r="U905" s="9" t="s">
        <v>125</v>
      </c>
      <c r="V905" t="str">
        <f t="shared" si="158"/>
        <v>October</v>
      </c>
      <c r="W905" t="str">
        <f t="shared" si="159"/>
        <v>OK</v>
      </c>
      <c r="X905" t="str">
        <f t="shared" si="160"/>
        <v>OK</v>
      </c>
      <c r="Y905">
        <f t="shared" si="154"/>
        <v>0.25</v>
      </c>
      <c r="Z905" s="5">
        <f t="shared" si="155"/>
        <v>2</v>
      </c>
      <c r="AA905">
        <f t="shared" si="161"/>
        <v>5151</v>
      </c>
      <c r="AB905">
        <f t="shared" si="162"/>
        <v>11833.92</v>
      </c>
      <c r="AC905">
        <f t="shared" si="163"/>
        <v>240</v>
      </c>
      <c r="AD905" t="str">
        <f t="shared" si="156"/>
        <v>North</v>
      </c>
      <c r="AE905" t="str">
        <f t="shared" si="164"/>
        <v>Clean</v>
      </c>
      <c r="AF905" t="str">
        <f t="shared" si="157"/>
        <v>Standard Class</v>
      </c>
    </row>
    <row r="906" spans="1:32">
      <c r="A906" t="s">
        <v>4740</v>
      </c>
      <c r="B906" s="4">
        <v>45795</v>
      </c>
      <c r="C906" s="4">
        <v>45797</v>
      </c>
      <c r="D906" t="s">
        <v>4741</v>
      </c>
      <c r="E906" t="s">
        <v>53</v>
      </c>
      <c r="F906" t="s">
        <v>108</v>
      </c>
      <c r="G906" t="s">
        <v>73</v>
      </c>
      <c r="H906" t="s">
        <v>84</v>
      </c>
      <c r="I906" t="s">
        <v>85</v>
      </c>
      <c r="J906" t="s">
        <v>30</v>
      </c>
      <c r="K906" t="s">
        <v>109</v>
      </c>
      <c r="L906" t="s">
        <v>1604</v>
      </c>
      <c r="M906" t="s">
        <v>67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200</v>
      </c>
      <c r="U906" s="6" t="s">
        <v>35</v>
      </c>
      <c r="V906" t="str">
        <f t="shared" si="158"/>
        <v>May</v>
      </c>
      <c r="W906" t="str">
        <f t="shared" si="159"/>
        <v>OK</v>
      </c>
      <c r="X906" t="str">
        <f t="shared" si="160"/>
        <v>OK</v>
      </c>
      <c r="Y906">
        <f t="shared" si="154"/>
        <v>0.15</v>
      </c>
      <c r="Z906" s="5">
        <f t="shared" si="155"/>
        <v>2</v>
      </c>
      <c r="AA906">
        <f t="shared" si="161"/>
        <v>1109.1939999999995</v>
      </c>
      <c r="AB906">
        <f t="shared" si="162"/>
        <v>6485.3639999999996</v>
      </c>
      <c r="AC906">
        <f t="shared" si="163"/>
        <v>2</v>
      </c>
      <c r="AD906" t="str">
        <f t="shared" si="156"/>
        <v>West</v>
      </c>
      <c r="AE906" t="str">
        <f t="shared" si="164"/>
        <v>Clean</v>
      </c>
      <c r="AF906" t="str">
        <f t="shared" si="157"/>
        <v>Standard Class</v>
      </c>
    </row>
    <row r="907" spans="1:32">
      <c r="A907" t="s">
        <v>4456</v>
      </c>
      <c r="B907" s="4">
        <v>45907</v>
      </c>
      <c r="C907" s="4">
        <v>45915</v>
      </c>
      <c r="D907" t="s">
        <v>4457</v>
      </c>
      <c r="E907" t="s">
        <v>180</v>
      </c>
      <c r="F907" t="s">
        <v>108</v>
      </c>
      <c r="G907" t="s">
        <v>42</v>
      </c>
      <c r="H907" t="s">
        <v>186</v>
      </c>
      <c r="I907" t="s">
        <v>187</v>
      </c>
      <c r="J907" t="s">
        <v>86</v>
      </c>
      <c r="K907" t="s">
        <v>94</v>
      </c>
      <c r="L907" t="s">
        <v>937</v>
      </c>
      <c r="M907" t="s">
        <v>67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34</v>
      </c>
      <c r="U907" s="9" t="s">
        <v>125</v>
      </c>
      <c r="V907" t="str">
        <f t="shared" si="158"/>
        <v>September</v>
      </c>
      <c r="W907" t="str">
        <f t="shared" si="159"/>
        <v>OK</v>
      </c>
      <c r="X907" t="str">
        <f t="shared" si="160"/>
        <v>OK</v>
      </c>
      <c r="Y907">
        <f t="shared" si="154"/>
        <v>0</v>
      </c>
      <c r="Z907" s="5">
        <f t="shared" si="155"/>
        <v>2</v>
      </c>
      <c r="AA907">
        <f t="shared" si="161"/>
        <v>1203.96</v>
      </c>
      <c r="AB907">
        <f t="shared" si="162"/>
        <v>5133.96</v>
      </c>
      <c r="AC907">
        <f t="shared" si="163"/>
        <v>8</v>
      </c>
      <c r="AD907" t="str">
        <f t="shared" si="156"/>
        <v>East</v>
      </c>
      <c r="AE907" t="str">
        <f t="shared" si="164"/>
        <v>Clean</v>
      </c>
      <c r="AF907" t="str">
        <f t="shared" si="157"/>
        <v>Standard Class</v>
      </c>
    </row>
    <row r="908" spans="1:32">
      <c r="A908" t="s">
        <v>4955</v>
      </c>
      <c r="B908" s="4">
        <v>45342</v>
      </c>
      <c r="C908" s="4">
        <v>45349</v>
      </c>
      <c r="D908" t="s">
        <v>4956</v>
      </c>
      <c r="E908" t="s">
        <v>210</v>
      </c>
      <c r="F908" t="s">
        <v>26</v>
      </c>
      <c r="G908" t="s">
        <v>62</v>
      </c>
      <c r="H908" t="s">
        <v>242</v>
      </c>
      <c r="I908" t="s">
        <v>243</v>
      </c>
      <c r="J908" t="s">
        <v>86</v>
      </c>
      <c r="K908" t="s">
        <v>87</v>
      </c>
      <c r="L908" t="s">
        <v>2091</v>
      </c>
      <c r="M908" t="s">
        <v>56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34</v>
      </c>
      <c r="U908" s="9" t="s">
        <v>125</v>
      </c>
      <c r="V908" t="str">
        <f t="shared" si="158"/>
        <v>February</v>
      </c>
      <c r="W908" t="str">
        <f t="shared" si="159"/>
        <v>OK</v>
      </c>
      <c r="X908" t="str">
        <f t="shared" si="160"/>
        <v>OK</v>
      </c>
      <c r="Y908">
        <f t="shared" si="154"/>
        <v>0.2</v>
      </c>
      <c r="Z908" s="5">
        <f t="shared" si="155"/>
        <v>2</v>
      </c>
      <c r="AA908">
        <f t="shared" si="161"/>
        <v>9270.6020000000026</v>
      </c>
      <c r="AB908">
        <f t="shared" si="162"/>
        <v>27211.032000000003</v>
      </c>
      <c r="AC908">
        <f t="shared" si="163"/>
        <v>7</v>
      </c>
      <c r="AD908" t="str">
        <f t="shared" si="156"/>
        <v>South</v>
      </c>
      <c r="AE908" t="str">
        <f t="shared" si="164"/>
        <v>Clean</v>
      </c>
      <c r="AF908" t="str">
        <f t="shared" si="157"/>
        <v>First Class</v>
      </c>
    </row>
    <row r="909" spans="1:32">
      <c r="A909" t="s">
        <v>5246</v>
      </c>
      <c r="B909" s="4">
        <v>45932</v>
      </c>
      <c r="C909" s="4">
        <v>45702</v>
      </c>
      <c r="D909" t="s">
        <v>5247</v>
      </c>
      <c r="E909" t="s">
        <v>142</v>
      </c>
      <c r="F909" t="s">
        <v>41</v>
      </c>
      <c r="G909" t="s">
        <v>27</v>
      </c>
      <c r="H909" t="s">
        <v>174</v>
      </c>
      <c r="I909" t="s">
        <v>175</v>
      </c>
      <c r="J909" t="s">
        <v>86</v>
      </c>
      <c r="K909" t="s">
        <v>223</v>
      </c>
      <c r="L909" t="s">
        <v>2742</v>
      </c>
      <c r="M909" t="s">
        <v>4187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200</v>
      </c>
      <c r="U909" s="6" t="s">
        <v>35</v>
      </c>
      <c r="V909" t="str">
        <f t="shared" si="158"/>
        <v>February</v>
      </c>
      <c r="W909" s="5" t="str">
        <f t="shared" si="159"/>
        <v>Invalid</v>
      </c>
      <c r="X909" t="str">
        <f t="shared" si="160"/>
        <v>OK</v>
      </c>
      <c r="Y909">
        <f t="shared" si="154"/>
        <v>0</v>
      </c>
      <c r="Z909" s="5">
        <f t="shared" si="155"/>
        <v>2</v>
      </c>
      <c r="AA909">
        <f t="shared" si="161"/>
        <v>8141.2400000000016</v>
      </c>
      <c r="AB909">
        <f t="shared" si="162"/>
        <v>21381.45</v>
      </c>
      <c r="AC909" s="5">
        <f t="shared" si="163"/>
        <v>-230</v>
      </c>
      <c r="AD909" t="str">
        <f t="shared" si="156"/>
        <v>North</v>
      </c>
      <c r="AE909" t="str">
        <f t="shared" si="164"/>
        <v>Invalid</v>
      </c>
      <c r="AF909" s="5" t="str">
        <f t="shared" si="157"/>
        <v>Unknown</v>
      </c>
    </row>
    <row r="910" spans="1:32">
      <c r="A910" t="s">
        <v>4401</v>
      </c>
      <c r="B910" s="4">
        <v>45381</v>
      </c>
      <c r="C910" s="4">
        <v>45377</v>
      </c>
      <c r="D910" t="s">
        <v>4402</v>
      </c>
      <c r="E910" t="s">
        <v>107</v>
      </c>
      <c r="F910" t="s">
        <v>115</v>
      </c>
      <c r="G910" t="s">
        <v>27</v>
      </c>
      <c r="H910" t="s">
        <v>28</v>
      </c>
      <c r="I910" t="s">
        <v>29</v>
      </c>
      <c r="J910" t="s">
        <v>86</v>
      </c>
      <c r="K910" t="s">
        <v>223</v>
      </c>
      <c r="L910" t="s">
        <v>804</v>
      </c>
      <c r="M910" t="s">
        <v>33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34</v>
      </c>
      <c r="U910" s="9" t="s">
        <v>125</v>
      </c>
      <c r="V910" t="str">
        <f t="shared" si="158"/>
        <v>March</v>
      </c>
      <c r="W910" s="5" t="str">
        <f t="shared" si="159"/>
        <v>Invalid</v>
      </c>
      <c r="X910" t="str">
        <f t="shared" si="160"/>
        <v>OK</v>
      </c>
      <c r="Y910">
        <f t="shared" si="154"/>
        <v>0.15</v>
      </c>
      <c r="Z910" s="5">
        <f t="shared" si="155"/>
        <v>2</v>
      </c>
      <c r="AA910">
        <f t="shared" si="161"/>
        <v>1087.7849999999994</v>
      </c>
      <c r="AB910">
        <f t="shared" si="162"/>
        <v>3857.0449999999996</v>
      </c>
      <c r="AC910" s="5">
        <f t="shared" si="163"/>
        <v>-4</v>
      </c>
      <c r="AD910" t="str">
        <f t="shared" si="156"/>
        <v>North</v>
      </c>
      <c r="AE910" t="str">
        <f t="shared" si="164"/>
        <v>Invalid</v>
      </c>
      <c r="AF910" t="str">
        <f t="shared" si="157"/>
        <v>Second Class</v>
      </c>
    </row>
    <row r="911" spans="1:32">
      <c r="A911" t="s">
        <v>4657</v>
      </c>
      <c r="B911" s="4">
        <v>45522</v>
      </c>
      <c r="C911" s="4">
        <v>45528</v>
      </c>
      <c r="D911" t="s">
        <v>4658</v>
      </c>
      <c r="E911" t="s">
        <v>61</v>
      </c>
      <c r="F911" t="s">
        <v>26</v>
      </c>
      <c r="G911" t="s">
        <v>62</v>
      </c>
      <c r="H911" t="s">
        <v>100</v>
      </c>
      <c r="I911" t="s">
        <v>101</v>
      </c>
      <c r="J911" t="s">
        <v>45</v>
      </c>
      <c r="K911" t="s">
        <v>76</v>
      </c>
      <c r="L911" t="s">
        <v>1412</v>
      </c>
      <c r="M911" t="s">
        <v>56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34</v>
      </c>
      <c r="U911" s="9" t="s">
        <v>125</v>
      </c>
      <c r="V911" t="str">
        <f t="shared" si="158"/>
        <v>August</v>
      </c>
      <c r="W911" t="str">
        <f t="shared" si="159"/>
        <v>OK</v>
      </c>
      <c r="X911" t="str">
        <f t="shared" si="160"/>
        <v>OK</v>
      </c>
      <c r="Y911">
        <f t="shared" si="154"/>
        <v>0.1</v>
      </c>
      <c r="Z911" s="5">
        <f t="shared" si="155"/>
        <v>2</v>
      </c>
      <c r="AA911">
        <f t="shared" si="161"/>
        <v>1318.9230000000002</v>
      </c>
      <c r="AB911">
        <f t="shared" si="162"/>
        <v>3510.4230000000002</v>
      </c>
      <c r="AC911">
        <f t="shared" si="163"/>
        <v>6</v>
      </c>
      <c r="AD911" t="str">
        <f t="shared" si="156"/>
        <v>South</v>
      </c>
      <c r="AE911" t="str">
        <f t="shared" si="164"/>
        <v>Clean</v>
      </c>
      <c r="AF911" t="str">
        <f t="shared" si="157"/>
        <v>First Class</v>
      </c>
    </row>
    <row r="912" spans="1:32">
      <c r="A912" t="s">
        <v>4363</v>
      </c>
      <c r="B912" s="4">
        <v>45436</v>
      </c>
      <c r="C912" s="4">
        <v>45437</v>
      </c>
      <c r="D912" t="s">
        <v>4364</v>
      </c>
      <c r="E912" t="s">
        <v>168</v>
      </c>
      <c r="F912" t="s">
        <v>41</v>
      </c>
      <c r="G912" t="s">
        <v>27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124</v>
      </c>
      <c r="U912" s="9" t="s">
        <v>125</v>
      </c>
      <c r="V912" t="str">
        <f t="shared" si="158"/>
        <v>May</v>
      </c>
      <c r="W912" t="str">
        <f t="shared" si="159"/>
        <v>OK</v>
      </c>
      <c r="X912" t="str">
        <f t="shared" si="160"/>
        <v>OK</v>
      </c>
      <c r="Y912">
        <f t="shared" si="154"/>
        <v>0</v>
      </c>
      <c r="Z912" s="5">
        <f t="shared" si="155"/>
        <v>2</v>
      </c>
      <c r="AA912">
        <f t="shared" si="161"/>
        <v>180.77999999999997</v>
      </c>
      <c r="AB912">
        <f t="shared" si="162"/>
        <v>634.13</v>
      </c>
      <c r="AC912">
        <f t="shared" si="163"/>
        <v>1</v>
      </c>
      <c r="AD912" t="str">
        <f t="shared" si="156"/>
        <v>North</v>
      </c>
      <c r="AE912" t="str">
        <f t="shared" si="164"/>
        <v>Clean</v>
      </c>
      <c r="AF912" t="str">
        <f t="shared" si="157"/>
        <v>Same Day</v>
      </c>
    </row>
    <row r="913" spans="1:32">
      <c r="A913" t="s">
        <v>4782</v>
      </c>
      <c r="B913" s="4">
        <v>45824</v>
      </c>
      <c r="C913" s="4">
        <v>45826</v>
      </c>
      <c r="D913" t="s">
        <v>4783</v>
      </c>
      <c r="E913" t="s">
        <v>148</v>
      </c>
      <c r="F913" t="s">
        <v>115</v>
      </c>
      <c r="G913" t="s">
        <v>73</v>
      </c>
      <c r="H913" t="s">
        <v>84</v>
      </c>
      <c r="I913" t="s">
        <v>85</v>
      </c>
      <c r="J913" t="s">
        <v>30</v>
      </c>
      <c r="K913" t="s">
        <v>31</v>
      </c>
      <c r="L913" t="s">
        <v>1701</v>
      </c>
      <c r="M913" t="s">
        <v>56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34</v>
      </c>
      <c r="U913" s="9" t="s">
        <v>125</v>
      </c>
      <c r="V913" t="str">
        <f t="shared" si="158"/>
        <v>June</v>
      </c>
      <c r="W913" t="str">
        <f t="shared" si="159"/>
        <v>OK</v>
      </c>
      <c r="X913" t="str">
        <f t="shared" si="160"/>
        <v>OK</v>
      </c>
      <c r="Y913">
        <f t="shared" si="154"/>
        <v>0.1</v>
      </c>
      <c r="Z913" s="5">
        <f t="shared" si="155"/>
        <v>2</v>
      </c>
      <c r="AA913">
        <f t="shared" si="161"/>
        <v>4751.8690000000006</v>
      </c>
      <c r="AB913">
        <f t="shared" si="162"/>
        <v>11581.299000000001</v>
      </c>
      <c r="AC913">
        <f t="shared" si="163"/>
        <v>2</v>
      </c>
      <c r="AD913" t="str">
        <f t="shared" si="156"/>
        <v>West</v>
      </c>
      <c r="AE913" t="str">
        <f t="shared" si="164"/>
        <v>Clean</v>
      </c>
      <c r="AF913" t="str">
        <f t="shared" si="157"/>
        <v>First Class</v>
      </c>
    </row>
    <row r="914" spans="1:32">
      <c r="V914" s="5"/>
      <c r="AC914" s="5"/>
      <c r="AD914" s="5"/>
    </row>
    <row r="915" spans="1:32">
      <c r="W915" s="5"/>
      <c r="AD915" s="5"/>
      <c r="AF915" s="5"/>
    </row>
    <row r="916" spans="1:32">
      <c r="W916" s="5"/>
      <c r="AD916" s="5"/>
      <c r="AF916" s="5"/>
    </row>
    <row r="917" spans="1:32">
      <c r="W917" s="5"/>
      <c r="AD917" s="5"/>
      <c r="AF917" s="5"/>
    </row>
    <row r="918" spans="1:32">
      <c r="W918" s="5"/>
      <c r="AD918" s="5"/>
      <c r="AF918" s="5"/>
    </row>
    <row r="919" spans="1:32">
      <c r="W919" s="5"/>
      <c r="AD919" s="5"/>
      <c r="AF919" s="5"/>
    </row>
    <row r="920" spans="1:32">
      <c r="W920" s="5"/>
      <c r="AD920" s="5"/>
      <c r="AF920" s="5"/>
    </row>
    <row r="921" spans="1:32">
      <c r="W921" s="5"/>
      <c r="AD921" s="5"/>
      <c r="AF921" s="5"/>
    </row>
    <row r="922" spans="1:32">
      <c r="W922" s="5"/>
      <c r="AD922" s="5"/>
      <c r="AF922" s="5"/>
    </row>
    <row r="923" spans="1:32">
      <c r="W923" s="5"/>
      <c r="AD923" s="5"/>
      <c r="AF923" s="5"/>
    </row>
    <row r="924" spans="1:32">
      <c r="W924" s="5"/>
      <c r="AD924" s="5"/>
      <c r="AF924" s="5"/>
    </row>
    <row r="925" spans="1:32">
      <c r="W925" s="5"/>
      <c r="AD925" s="5"/>
      <c r="AF925" s="5"/>
    </row>
    <row r="926" spans="1:32">
      <c r="W926" s="5"/>
      <c r="AD926" s="5"/>
      <c r="AF926" s="5"/>
    </row>
    <row r="927" spans="1:32">
      <c r="W927" s="5"/>
      <c r="AD927" s="5"/>
      <c r="AF927" s="5"/>
    </row>
    <row r="928" spans="1:32">
      <c r="W928" s="5"/>
      <c r="AD928" s="5"/>
      <c r="AF928" s="5"/>
    </row>
    <row r="929" spans="23:32">
      <c r="W929" s="5"/>
      <c r="AD929" s="5"/>
      <c r="AF929" s="5"/>
    </row>
    <row r="930" spans="23:32">
      <c r="W930" s="5"/>
      <c r="AD930" s="5"/>
      <c r="AF930" s="5"/>
    </row>
    <row r="931" spans="23:32">
      <c r="W931" s="5"/>
      <c r="AD931" s="5"/>
      <c r="AF931" s="5"/>
    </row>
    <row r="932" spans="23:32">
      <c r="W932" s="5"/>
      <c r="AD932" s="5"/>
      <c r="AF932" s="5"/>
    </row>
    <row r="933" spans="23:32">
      <c r="W933" s="5"/>
      <c r="AD933" s="5"/>
      <c r="AF933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3D84-FF43-4635-98FE-BA5704617E70}">
  <dimension ref="A3:C10"/>
  <sheetViews>
    <sheetView workbookViewId="0">
      <selection activeCell="F5" sqref="F5"/>
    </sheetView>
  </sheetViews>
  <sheetFormatPr defaultRowHeight="1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>
      <c r="A3" s="10" t="s">
        <v>5875</v>
      </c>
      <c r="B3" t="s">
        <v>5878</v>
      </c>
      <c r="C3" t="s">
        <v>5879</v>
      </c>
    </row>
    <row r="4" spans="1:3">
      <c r="A4" s="11"/>
      <c r="B4">
        <v>289809.21000000002</v>
      </c>
      <c r="C4">
        <v>94818.06</v>
      </c>
    </row>
    <row r="5" spans="1:3">
      <c r="A5" s="11" t="s">
        <v>42</v>
      </c>
      <c r="B5">
        <v>2195887.7799999998</v>
      </c>
      <c r="C5">
        <v>674396.4800000001</v>
      </c>
    </row>
    <row r="6" spans="1:3">
      <c r="A6" s="11" t="s">
        <v>27</v>
      </c>
      <c r="B6">
        <v>2166470.1099999994</v>
      </c>
      <c r="C6">
        <v>642497.06000000029</v>
      </c>
    </row>
    <row r="7" spans="1:3">
      <c r="A7" s="11" t="s">
        <v>62</v>
      </c>
      <c r="B7">
        <v>2319638.1999999993</v>
      </c>
      <c r="C7">
        <v>664110.75999999943</v>
      </c>
    </row>
    <row r="8" spans="1:3">
      <c r="A8" s="11" t="s">
        <v>73</v>
      </c>
      <c r="B8">
        <v>2107785.1700000013</v>
      </c>
      <c r="C8">
        <v>591397.11</v>
      </c>
    </row>
    <row r="9" spans="1:3">
      <c r="A9" s="11" t="s">
        <v>5876</v>
      </c>
    </row>
    <row r="10" spans="1:3">
      <c r="A10" s="11" t="s">
        <v>5877</v>
      </c>
      <c r="B10">
        <v>9079590.4700000007</v>
      </c>
      <c r="C10">
        <v>2667219.4699999997</v>
      </c>
    </row>
  </sheetData>
  <sortState xmlns:xlrd2="http://schemas.microsoft.com/office/spreadsheetml/2017/richdata2" columnSort="1" ref="A3:C10">
    <sortCondition descending="1" ref="B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FEAD-3941-42F8-8C15-34CF74D98258}">
  <dimension ref="A3:C22"/>
  <sheetViews>
    <sheetView topLeftCell="A7" workbookViewId="0">
      <selection activeCell="E18" sqref="E18"/>
    </sheetView>
  </sheetViews>
  <sheetFormatPr defaultRowHeight="15"/>
  <cols>
    <col min="1" max="1" width="16.42578125" bestFit="1" customWidth="1"/>
    <col min="2" max="2" width="12.140625" bestFit="1" customWidth="1"/>
    <col min="3" max="3" width="12.5703125" bestFit="1" customWidth="1"/>
  </cols>
  <sheetData>
    <row r="3" spans="1:3">
      <c r="A3" s="10" t="s">
        <v>5875</v>
      </c>
      <c r="B3" t="s">
        <v>5878</v>
      </c>
      <c r="C3" t="s">
        <v>5879</v>
      </c>
    </row>
    <row r="4" spans="1:3">
      <c r="A4" s="11" t="s">
        <v>45</v>
      </c>
      <c r="B4">
        <v>3128366.6500000004</v>
      </c>
      <c r="C4">
        <v>920214.45</v>
      </c>
    </row>
    <row r="5" spans="1:3">
      <c r="A5" s="12" t="s">
        <v>204</v>
      </c>
      <c r="B5">
        <v>686750.93</v>
      </c>
      <c r="C5">
        <v>198694.22000000003</v>
      </c>
    </row>
    <row r="6" spans="1:3">
      <c r="A6" s="12" t="s">
        <v>76</v>
      </c>
      <c r="B6">
        <v>972075.33999999985</v>
      </c>
      <c r="C6">
        <v>282367.33999999997</v>
      </c>
    </row>
    <row r="7" spans="1:3">
      <c r="A7" s="12" t="s">
        <v>65</v>
      </c>
      <c r="B7">
        <v>789467.08000000007</v>
      </c>
      <c r="C7">
        <v>228402.52999999997</v>
      </c>
    </row>
    <row r="8" spans="1:3">
      <c r="A8" s="12" t="s">
        <v>46</v>
      </c>
      <c r="B8">
        <v>680073.3</v>
      </c>
      <c r="C8">
        <v>210750.36</v>
      </c>
    </row>
    <row r="9" spans="1:3">
      <c r="A9" s="11" t="s">
        <v>30</v>
      </c>
      <c r="B9">
        <v>2783462.06</v>
      </c>
      <c r="C9">
        <v>803677.37</v>
      </c>
    </row>
    <row r="10" spans="1:3">
      <c r="A10" s="12" t="s">
        <v>54</v>
      </c>
      <c r="B10">
        <v>580984.80000000005</v>
      </c>
      <c r="C10">
        <v>165565.25999999995</v>
      </c>
    </row>
    <row r="11" spans="1:3">
      <c r="A11" s="12" t="s">
        <v>198</v>
      </c>
      <c r="B11">
        <v>555619.29999999993</v>
      </c>
      <c r="C11">
        <v>166674.33000000002</v>
      </c>
    </row>
    <row r="12" spans="1:3">
      <c r="A12" s="12" t="s">
        <v>109</v>
      </c>
      <c r="B12">
        <v>341081.60999999993</v>
      </c>
      <c r="C12">
        <v>105086.29</v>
      </c>
    </row>
    <row r="13" spans="1:3">
      <c r="A13" s="12" t="s">
        <v>31</v>
      </c>
      <c r="B13">
        <v>616740.47000000009</v>
      </c>
      <c r="C13">
        <v>176877.61</v>
      </c>
    </row>
    <row r="14" spans="1:3">
      <c r="A14" s="12" t="s">
        <v>156</v>
      </c>
      <c r="B14">
        <v>689035.87999999989</v>
      </c>
      <c r="C14">
        <v>189473.88000000003</v>
      </c>
    </row>
    <row r="15" spans="1:3">
      <c r="A15" s="11" t="s">
        <v>86</v>
      </c>
      <c r="B15">
        <v>3167761.7599999993</v>
      </c>
      <c r="C15">
        <v>943327.65</v>
      </c>
    </row>
    <row r="16" spans="1:3">
      <c r="A16" s="12" t="s">
        <v>87</v>
      </c>
      <c r="B16">
        <v>822281.68999999959</v>
      </c>
      <c r="C16">
        <v>248081.91000000006</v>
      </c>
    </row>
    <row r="17" spans="1:3">
      <c r="A17" s="12" t="s">
        <v>94</v>
      </c>
      <c r="B17">
        <v>895289.60000000021</v>
      </c>
      <c r="C17">
        <v>263451.58</v>
      </c>
    </row>
    <row r="18" spans="1:3">
      <c r="A18" s="12" t="s">
        <v>382</v>
      </c>
      <c r="B18">
        <v>652672.68999999983</v>
      </c>
      <c r="C18">
        <v>202694</v>
      </c>
    </row>
    <row r="19" spans="1:3">
      <c r="A19" s="12" t="s">
        <v>223</v>
      </c>
      <c r="B19">
        <v>797517.77999999991</v>
      </c>
      <c r="C19">
        <v>229100.15999999995</v>
      </c>
    </row>
    <row r="20" spans="1:3">
      <c r="A20" s="11" t="s">
        <v>5876</v>
      </c>
    </row>
    <row r="21" spans="1:3">
      <c r="A21" s="12" t="s">
        <v>5876</v>
      </c>
    </row>
    <row r="22" spans="1:3">
      <c r="A22" s="11" t="s">
        <v>5877</v>
      </c>
      <c r="B22">
        <v>9079590.4699999988</v>
      </c>
      <c r="C22">
        <v>2667219.4700000002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9B39-53E2-4747-98BB-AABC18157739}">
  <dimension ref="A3:B10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17" bestFit="1" customWidth="1"/>
  </cols>
  <sheetData>
    <row r="3" spans="1:2">
      <c r="A3" s="10" t="s">
        <v>5875</v>
      </c>
      <c r="B3" t="s">
        <v>5880</v>
      </c>
    </row>
    <row r="4" spans="1:2">
      <c r="A4" s="11"/>
      <c r="B4">
        <v>21</v>
      </c>
    </row>
    <row r="5" spans="1:2">
      <c r="A5" s="11" t="s">
        <v>56</v>
      </c>
      <c r="B5">
        <v>223</v>
      </c>
    </row>
    <row r="6" spans="1:2">
      <c r="A6" s="11" t="s">
        <v>48</v>
      </c>
      <c r="B6">
        <v>204</v>
      </c>
    </row>
    <row r="7" spans="1:2">
      <c r="A7" s="11" t="s">
        <v>33</v>
      </c>
      <c r="B7">
        <v>222</v>
      </c>
    </row>
    <row r="8" spans="1:2">
      <c r="A8" s="11" t="s">
        <v>67</v>
      </c>
      <c r="B8">
        <v>242</v>
      </c>
    </row>
    <row r="9" spans="1:2">
      <c r="A9" s="11" t="s">
        <v>5876</v>
      </c>
    </row>
    <row r="10" spans="1:2">
      <c r="A10" s="11" t="s">
        <v>5877</v>
      </c>
      <c r="B10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7785-ACDC-4A9A-995D-89A4EFC7A304}">
  <dimension ref="A3:B9"/>
  <sheetViews>
    <sheetView workbookViewId="0">
      <selection activeCell="A3" sqref="A3"/>
    </sheetView>
  </sheetViews>
  <sheetFormatPr defaultRowHeight="15"/>
  <cols>
    <col min="1" max="1" width="14.140625" bestFit="1" customWidth="1"/>
    <col min="2" max="2" width="16.140625" bestFit="1" customWidth="1"/>
  </cols>
  <sheetData>
    <row r="3" spans="1:2">
      <c r="A3" s="10" t="s">
        <v>5875</v>
      </c>
      <c r="B3" t="s">
        <v>5881</v>
      </c>
    </row>
    <row r="4" spans="1:2">
      <c r="A4" s="11" t="s">
        <v>26</v>
      </c>
      <c r="B4">
        <v>3004.6412162162173</v>
      </c>
    </row>
    <row r="5" spans="1:2">
      <c r="A5" s="11" t="s">
        <v>108</v>
      </c>
      <c r="B5">
        <v>2819.8092626728098</v>
      </c>
    </row>
    <row r="6" spans="1:2">
      <c r="A6" s="11" t="s">
        <v>115</v>
      </c>
      <c r="B6">
        <v>2974.7344206008597</v>
      </c>
    </row>
    <row r="7" spans="1:2">
      <c r="A7" s="11" t="s">
        <v>41</v>
      </c>
      <c r="B7">
        <v>2896.5724583333335</v>
      </c>
    </row>
    <row r="8" spans="1:2">
      <c r="A8" s="11" t="s">
        <v>5876</v>
      </c>
    </row>
    <row r="9" spans="1:2">
      <c r="A9" s="11" t="s">
        <v>5877</v>
      </c>
      <c r="B9">
        <v>2924.5827521929832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A8BB-719C-44C7-81B9-621212A41D95}">
  <dimension ref="A3:F11"/>
  <sheetViews>
    <sheetView workbookViewId="0">
      <selection activeCell="A3" sqref="A3"/>
    </sheetView>
  </sheetViews>
  <sheetFormatPr defaultRowHeight="15"/>
  <cols>
    <col min="1" max="1" width="17" bestFit="1" customWidth="1"/>
    <col min="2" max="2" width="16.28515625" bestFit="1" customWidth="1"/>
    <col min="3" max="3" width="10.85546875" bestFit="1" customWidth="1"/>
    <col min="4" max="4" width="9.28515625" bestFit="1" customWidth="1"/>
    <col min="5" max="5" width="7.28515625" bestFit="1" customWidth="1"/>
    <col min="6" max="6" width="11.28515625" bestFit="1" customWidth="1"/>
  </cols>
  <sheetData>
    <row r="3" spans="1:6">
      <c r="A3" s="10" t="s">
        <v>5880</v>
      </c>
      <c r="B3" s="10" t="s">
        <v>5882</v>
      </c>
    </row>
    <row r="4" spans="1:6">
      <c r="A4" s="10" t="s">
        <v>5875</v>
      </c>
      <c r="B4" t="s">
        <v>78</v>
      </c>
      <c r="C4" t="s">
        <v>35</v>
      </c>
      <c r="D4" t="s">
        <v>125</v>
      </c>
      <c r="E4" t="s">
        <v>5876</v>
      </c>
      <c r="F4" t="s">
        <v>5877</v>
      </c>
    </row>
    <row r="5" spans="1:6">
      <c r="A5" s="11"/>
      <c r="B5">
        <v>2</v>
      </c>
      <c r="C5">
        <v>19</v>
      </c>
      <c r="D5">
        <v>4</v>
      </c>
      <c r="F5">
        <v>25</v>
      </c>
    </row>
    <row r="6" spans="1:6">
      <c r="A6" s="11" t="s">
        <v>42</v>
      </c>
      <c r="B6">
        <v>30</v>
      </c>
      <c r="C6">
        <v>149</v>
      </c>
      <c r="D6">
        <v>45</v>
      </c>
      <c r="F6">
        <v>224</v>
      </c>
    </row>
    <row r="7" spans="1:6">
      <c r="A7" s="11" t="s">
        <v>27</v>
      </c>
      <c r="B7">
        <v>48</v>
      </c>
      <c r="C7">
        <v>129</v>
      </c>
      <c r="D7">
        <v>37</v>
      </c>
      <c r="F7">
        <v>214</v>
      </c>
    </row>
    <row r="8" spans="1:6">
      <c r="A8" s="11" t="s">
        <v>62</v>
      </c>
      <c r="B8">
        <v>35</v>
      </c>
      <c r="C8">
        <v>153</v>
      </c>
      <c r="D8">
        <v>37</v>
      </c>
      <c r="F8">
        <v>225</v>
      </c>
    </row>
    <row r="9" spans="1:6">
      <c r="A9" s="11" t="s">
        <v>73</v>
      </c>
      <c r="B9">
        <v>30</v>
      </c>
      <c r="C9">
        <v>154</v>
      </c>
      <c r="D9">
        <v>40</v>
      </c>
      <c r="F9">
        <v>224</v>
      </c>
    </row>
    <row r="10" spans="1:6">
      <c r="A10" s="11" t="s">
        <v>5876</v>
      </c>
    </row>
    <row r="11" spans="1:6">
      <c r="A11" s="11" t="s">
        <v>5877</v>
      </c>
      <c r="B11">
        <v>145</v>
      </c>
      <c r="C11">
        <v>604</v>
      </c>
      <c r="D11">
        <v>163</v>
      </c>
      <c r="F11">
        <v>912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8948-F493-452F-AAE2-F25EE4B569DE}">
  <dimension ref="A3:B17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10" t="s">
        <v>5875</v>
      </c>
      <c r="B3" t="s">
        <v>5878</v>
      </c>
    </row>
    <row r="4" spans="1:2">
      <c r="A4" s="11" t="s">
        <v>5883</v>
      </c>
    </row>
    <row r="5" spans="1:2">
      <c r="A5" s="11" t="s">
        <v>5884</v>
      </c>
      <c r="B5">
        <v>775062.35000000009</v>
      </c>
    </row>
    <row r="6" spans="1:2">
      <c r="A6" s="11" t="s">
        <v>5885</v>
      </c>
      <c r="B6">
        <v>1051452.9099999995</v>
      </c>
    </row>
    <row r="7" spans="1:2">
      <c r="A7" s="11" t="s">
        <v>5886</v>
      </c>
      <c r="B7">
        <v>737804.48999999976</v>
      </c>
    </row>
    <row r="8" spans="1:2">
      <c r="A8" s="11" t="s">
        <v>5887</v>
      </c>
      <c r="B8">
        <v>734703.92</v>
      </c>
    </row>
    <row r="9" spans="1:2">
      <c r="A9" s="11" t="s">
        <v>5888</v>
      </c>
      <c r="B9">
        <v>760966.61999999988</v>
      </c>
    </row>
    <row r="10" spans="1:2">
      <c r="A10" s="11" t="s">
        <v>5889</v>
      </c>
      <c r="B10">
        <v>871420.48999999987</v>
      </c>
    </row>
    <row r="11" spans="1:2">
      <c r="A11" s="11" t="s">
        <v>5890</v>
      </c>
      <c r="B11">
        <v>786626.03</v>
      </c>
    </row>
    <row r="12" spans="1:2">
      <c r="A12" s="11" t="s">
        <v>5891</v>
      </c>
      <c r="B12">
        <v>831688.79000000015</v>
      </c>
    </row>
    <row r="13" spans="1:2">
      <c r="A13" s="11" t="s">
        <v>5892</v>
      </c>
      <c r="B13">
        <v>867849.76</v>
      </c>
    </row>
    <row r="14" spans="1:2">
      <c r="A14" s="11" t="s">
        <v>5893</v>
      </c>
      <c r="B14">
        <v>719941.50000000012</v>
      </c>
    </row>
    <row r="15" spans="1:2">
      <c r="A15" s="11" t="s">
        <v>5894</v>
      </c>
      <c r="B15">
        <v>370542.99000000011</v>
      </c>
    </row>
    <row r="16" spans="1:2">
      <c r="A16" s="11" t="s">
        <v>5895</v>
      </c>
      <c r="B16">
        <v>571530.61999999988</v>
      </c>
    </row>
    <row r="17" spans="1:2">
      <c r="A17" s="11" t="s">
        <v>5877</v>
      </c>
      <c r="B17">
        <v>9079590.4699999988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9C7B-703E-46DE-9ADE-240B78757313}">
  <dimension ref="A3:B9"/>
  <sheetViews>
    <sheetView workbookViewId="0">
      <selection activeCell="A3" sqref="A3"/>
    </sheetView>
  </sheetViews>
  <sheetFormatPr defaultRowHeight="15"/>
  <cols>
    <col min="1" max="1" width="14.140625" bestFit="1" customWidth="1"/>
    <col min="2" max="2" width="12.140625" bestFit="1" customWidth="1"/>
  </cols>
  <sheetData>
    <row r="3" spans="1:2">
      <c r="A3" s="10" t="s">
        <v>5875</v>
      </c>
      <c r="B3" t="s">
        <v>5878</v>
      </c>
    </row>
    <row r="4" spans="1:2">
      <c r="A4" s="11" t="s">
        <v>26</v>
      </c>
      <c r="B4">
        <v>2263929.8599999994</v>
      </c>
    </row>
    <row r="5" spans="1:2">
      <c r="A5" s="11" t="s">
        <v>108</v>
      </c>
      <c r="B5">
        <v>2060899.6400000011</v>
      </c>
    </row>
    <row r="6" spans="1:2">
      <c r="A6" s="11" t="s">
        <v>115</v>
      </c>
      <c r="B6">
        <v>2341474.7300000004</v>
      </c>
    </row>
    <row r="7" spans="1:2">
      <c r="A7" s="11" t="s">
        <v>41</v>
      </c>
      <c r="B7">
        <v>2413286.2400000002</v>
      </c>
    </row>
    <row r="8" spans="1:2">
      <c r="A8" s="11" t="s">
        <v>5876</v>
      </c>
    </row>
    <row r="9" spans="1:2">
      <c r="A9" s="11" t="s">
        <v>5877</v>
      </c>
      <c r="B9">
        <v>9079590.4700000007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CCF6-1B18-46BB-8345-D6B351D48C6D}">
  <dimension ref="A3:B24"/>
  <sheetViews>
    <sheetView topLeftCell="A10" workbookViewId="0">
      <selection activeCell="A3" sqref="A3"/>
    </sheetView>
  </sheetViews>
  <sheetFormatPr defaultRowHeight="15"/>
  <cols>
    <col min="1" max="1" width="15.7109375" bestFit="1" customWidth="1"/>
    <col min="2" max="2" width="12.5703125" bestFit="1" customWidth="1"/>
  </cols>
  <sheetData>
    <row r="3" spans="1:2">
      <c r="A3" s="10" t="s">
        <v>5875</v>
      </c>
      <c r="B3" t="s">
        <v>5879</v>
      </c>
    </row>
    <row r="4" spans="1:2">
      <c r="A4" s="11" t="s">
        <v>100</v>
      </c>
      <c r="B4">
        <v>108060.90000000001</v>
      </c>
    </row>
    <row r="5" spans="1:2">
      <c r="A5" s="11" t="s">
        <v>216</v>
      </c>
      <c r="B5">
        <v>123751.76000000002</v>
      </c>
    </row>
    <row r="6" spans="1:2">
      <c r="A6" s="11" t="s">
        <v>186</v>
      </c>
      <c r="B6">
        <v>174191.19</v>
      </c>
    </row>
    <row r="7" spans="1:2">
      <c r="A7" s="11" t="s">
        <v>506</v>
      </c>
      <c r="B7">
        <v>115194.29999999996</v>
      </c>
    </row>
    <row r="8" spans="1:2">
      <c r="A8" s="11" t="s">
        <v>249</v>
      </c>
      <c r="B8">
        <v>128791.04999999999</v>
      </c>
    </row>
    <row r="9" spans="1:2">
      <c r="A9" s="11" t="s">
        <v>235</v>
      </c>
      <c r="B9">
        <v>149904.41999999993</v>
      </c>
    </row>
    <row r="10" spans="1:2">
      <c r="A10" s="11" t="s">
        <v>323</v>
      </c>
      <c r="B10">
        <v>139520.94999999998</v>
      </c>
    </row>
    <row r="11" spans="1:2">
      <c r="A11" s="11" t="s">
        <v>311</v>
      </c>
      <c r="B11">
        <v>164719.61000000002</v>
      </c>
    </row>
    <row r="12" spans="1:2">
      <c r="A12" s="11" t="s">
        <v>229</v>
      </c>
      <c r="B12">
        <v>132987.66</v>
      </c>
    </row>
    <row r="13" spans="1:2">
      <c r="A13" s="11" t="s">
        <v>242</v>
      </c>
      <c r="B13">
        <v>147997.16999999998</v>
      </c>
    </row>
    <row r="14" spans="1:2">
      <c r="A14" s="11" t="s">
        <v>84</v>
      </c>
      <c r="B14">
        <v>118230.95000000001</v>
      </c>
    </row>
    <row r="15" spans="1:2">
      <c r="A15" s="11" t="s">
        <v>74</v>
      </c>
      <c r="B15">
        <v>120157.15</v>
      </c>
    </row>
    <row r="16" spans="1:2">
      <c r="A16" s="11" t="s">
        <v>43</v>
      </c>
      <c r="B16">
        <v>151998.94</v>
      </c>
    </row>
    <row r="17" spans="1:2">
      <c r="A17" s="11" t="s">
        <v>154</v>
      </c>
      <c r="B17">
        <v>105356.17000000001</v>
      </c>
    </row>
    <row r="18" spans="1:2">
      <c r="A18" s="11" t="s">
        <v>28</v>
      </c>
      <c r="B18">
        <v>240516.03999999998</v>
      </c>
    </row>
    <row r="19" spans="1:2">
      <c r="A19" s="11" t="s">
        <v>339</v>
      </c>
      <c r="B19">
        <v>164550.94000000003</v>
      </c>
    </row>
    <row r="20" spans="1:2">
      <c r="A20" s="11" t="s">
        <v>63</v>
      </c>
      <c r="B20">
        <v>114189.90999999996</v>
      </c>
    </row>
    <row r="21" spans="1:2">
      <c r="A21" s="11" t="s">
        <v>174</v>
      </c>
      <c r="B21">
        <v>165625.9</v>
      </c>
    </row>
    <row r="22" spans="1:2">
      <c r="A22" s="11" t="s">
        <v>121</v>
      </c>
      <c r="B22">
        <v>101474.46000000004</v>
      </c>
    </row>
    <row r="23" spans="1:2">
      <c r="A23" s="11" t="s">
        <v>5876</v>
      </c>
    </row>
    <row r="24" spans="1:2">
      <c r="A24" s="11" t="s">
        <v>5877</v>
      </c>
      <c r="B24">
        <v>2667219.4699999993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F41C-8304-4871-8DE6-E1741DA1FF42}">
  <dimension ref="A3:B9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10" t="s">
        <v>5875</v>
      </c>
      <c r="B3" t="s">
        <v>5878</v>
      </c>
    </row>
    <row r="4" spans="1:2">
      <c r="A4" s="11" t="s">
        <v>200</v>
      </c>
      <c r="B4">
        <v>642594.04</v>
      </c>
    </row>
    <row r="5" spans="1:2">
      <c r="A5" s="11" t="s">
        <v>34</v>
      </c>
      <c r="B5">
        <v>6789342.1600000039</v>
      </c>
    </row>
    <row r="6" spans="1:2">
      <c r="A6" s="11" t="s">
        <v>137</v>
      </c>
      <c r="B6">
        <v>970580.52000000025</v>
      </c>
    </row>
    <row r="7" spans="1:2">
      <c r="A7" s="11" t="s">
        <v>124</v>
      </c>
      <c r="B7">
        <v>677073.74999999977</v>
      </c>
    </row>
    <row r="8" spans="1:2">
      <c r="A8" s="11" t="s">
        <v>5876</v>
      </c>
    </row>
    <row r="9" spans="1:2">
      <c r="A9" s="11" t="s">
        <v>5877</v>
      </c>
      <c r="B9">
        <v>9079590.4700000044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E3B7-DDE4-4A4D-BC05-9DFCC197D869}">
  <dimension ref="A3:B8"/>
  <sheetViews>
    <sheetView workbookViewId="0">
      <selection activeCell="F11" sqref="F11"/>
    </sheetView>
  </sheetViews>
  <sheetFormatPr defaultRowHeight="15"/>
  <cols>
    <col min="1" max="1" width="14.5703125" bestFit="1" customWidth="1"/>
    <col min="2" max="2" width="17" bestFit="1" customWidth="1"/>
  </cols>
  <sheetData>
    <row r="3" spans="1:2">
      <c r="A3" s="10" t="s">
        <v>5875</v>
      </c>
      <c r="B3" t="s">
        <v>5880</v>
      </c>
    </row>
    <row r="4" spans="1:2">
      <c r="A4" s="11" t="s">
        <v>45</v>
      </c>
      <c r="B4">
        <v>307</v>
      </c>
    </row>
    <row r="5" spans="1:2">
      <c r="A5" s="11" t="s">
        <v>30</v>
      </c>
      <c r="B5">
        <v>290</v>
      </c>
    </row>
    <row r="6" spans="1:2">
      <c r="A6" s="11" t="s">
        <v>86</v>
      </c>
      <c r="B6">
        <v>315</v>
      </c>
    </row>
    <row r="7" spans="1:2">
      <c r="A7" s="11" t="s">
        <v>5876</v>
      </c>
    </row>
    <row r="8" spans="1:2">
      <c r="A8" s="11" t="s">
        <v>5877</v>
      </c>
      <c r="B8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Dataset</vt:lpstr>
      <vt:lpstr>Cleaned Data</vt:lpstr>
      <vt:lpstr>Sales_Region</vt:lpstr>
      <vt:lpstr>Category_Profit</vt:lpstr>
      <vt:lpstr>Ship Mode</vt:lpstr>
      <vt:lpstr>Segment Profit</vt:lpstr>
      <vt:lpstr>Order Status</vt:lpstr>
      <vt:lpstr>Monthly Sales</vt:lpstr>
      <vt:lpstr>Segment Sales</vt:lpstr>
      <vt:lpstr>State Profit</vt:lpstr>
      <vt:lpstr>Payment Analysis</vt:lpstr>
      <vt:lpstr>Category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</dc:creator>
  <cp:lastModifiedBy>Hrishi</cp:lastModifiedBy>
  <dcterms:created xsi:type="dcterms:W3CDTF">2026-06-27T15:03:41Z</dcterms:created>
  <dcterms:modified xsi:type="dcterms:W3CDTF">2026-06-27T16:46:39Z</dcterms:modified>
</cp:coreProperties>
</file>